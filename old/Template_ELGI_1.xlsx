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ELGI project\iter3\"/>
    </mc:Choice>
  </mc:AlternateContent>
  <xr:revisionPtr revIDLastSave="0" documentId="13_ncr:1_{0C96816E-683C-44A0-ABDC-8B5C5BD8B1BA}" xr6:coauthVersionLast="47" xr6:coauthVersionMax="47" xr10:uidLastSave="{00000000-0000-0000-0000-000000000000}"/>
  <bookViews>
    <workbookView xWindow="-110" yWindow="-110" windowWidth="19420" windowHeight="10300" tabRatio="554" activeTab="3" xr2:uid="{9863C7C5-ADEC-4CBA-BF9D-EA72B155D51A}"/>
  </bookViews>
  <sheets>
    <sheet name="Master" sheetId="1" r:id="rId1"/>
    <sheet name="Daily Release Plan" sheetId="2" r:id="rId2"/>
    <sheet name="Attendance" sheetId="5" r:id="rId3"/>
    <sheet name="Output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6" l="1"/>
  <c r="F8" i="6"/>
  <c r="F9" i="6"/>
  <c r="F10" i="6"/>
  <c r="F11" i="6"/>
  <c r="F6" i="6"/>
  <c r="F5" i="6"/>
  <c r="F4" i="6"/>
  <c r="F3" i="6"/>
  <c r="G53" i="5"/>
  <c r="H53" i="5" s="1"/>
  <c r="G52" i="5"/>
  <c r="H52" i="5" s="1"/>
  <c r="G51" i="5"/>
  <c r="H51" i="5" s="1"/>
  <c r="G50" i="5"/>
  <c r="H50" i="5" s="1"/>
  <c r="G49" i="5"/>
  <c r="H49" i="5" s="1"/>
  <c r="G48" i="5"/>
  <c r="H48" i="5" s="1"/>
  <c r="G47" i="5"/>
  <c r="H47" i="5" s="1"/>
  <c r="G46" i="5"/>
  <c r="H46" i="5" s="1"/>
  <c r="G45" i="5"/>
  <c r="H45" i="5" s="1"/>
  <c r="G44" i="5"/>
  <c r="H44" i="5" s="1"/>
  <c r="G43" i="5"/>
  <c r="H43" i="5" s="1"/>
  <c r="G42" i="5"/>
  <c r="H42" i="5" s="1"/>
  <c r="G41" i="5"/>
  <c r="H41" i="5" s="1"/>
  <c r="G40" i="5"/>
  <c r="H40" i="5" s="1"/>
  <c r="G39" i="5"/>
  <c r="H39" i="5" s="1"/>
  <c r="G38" i="5"/>
  <c r="H38" i="5" s="1"/>
  <c r="G37" i="5"/>
  <c r="H37" i="5" s="1"/>
  <c r="G36" i="5"/>
  <c r="H36" i="5" s="1"/>
  <c r="G35" i="5"/>
  <c r="H35" i="5" s="1"/>
  <c r="G34" i="5"/>
  <c r="H34" i="5" s="1"/>
  <c r="G33" i="5"/>
  <c r="H33" i="5" s="1"/>
  <c r="G32" i="5"/>
  <c r="H32" i="5" s="1"/>
  <c r="G31" i="5"/>
  <c r="H31" i="5" s="1"/>
  <c r="G30" i="5"/>
  <c r="H30" i="5" s="1"/>
  <c r="G29" i="5"/>
  <c r="H29" i="5" s="1"/>
  <c r="G28" i="5"/>
  <c r="H28" i="5" s="1"/>
  <c r="G27" i="5"/>
  <c r="H27" i="5" s="1"/>
  <c r="G26" i="5"/>
  <c r="H26" i="5" s="1"/>
  <c r="G25" i="5"/>
  <c r="H25" i="5" s="1"/>
  <c r="G24" i="5"/>
  <c r="H24" i="5" s="1"/>
  <c r="G23" i="5"/>
  <c r="H23" i="5" s="1"/>
  <c r="G22" i="5"/>
  <c r="H22" i="5" s="1"/>
  <c r="G21" i="5"/>
  <c r="H21" i="5" s="1"/>
  <c r="G20" i="5"/>
  <c r="H20" i="5" s="1"/>
  <c r="G19" i="5"/>
  <c r="H19" i="5" s="1"/>
  <c r="G18" i="5"/>
  <c r="H18" i="5" s="1"/>
  <c r="G17" i="5"/>
  <c r="H17" i="5" s="1"/>
  <c r="G16" i="5"/>
  <c r="H16" i="5" s="1"/>
  <c r="G15" i="5"/>
  <c r="H15" i="5" s="1"/>
  <c r="G14" i="5"/>
  <c r="H14" i="5" s="1"/>
  <c r="G13" i="5"/>
  <c r="H13" i="5" s="1"/>
  <c r="G12" i="5"/>
  <c r="H12" i="5" s="1"/>
  <c r="G11" i="5"/>
  <c r="H11" i="5" s="1"/>
  <c r="G10" i="5"/>
  <c r="H10" i="5" s="1"/>
  <c r="G9" i="5"/>
  <c r="H9" i="5" s="1"/>
  <c r="G8" i="5"/>
  <c r="H8" i="5" s="1"/>
  <c r="G7" i="5"/>
  <c r="H7" i="5" s="1"/>
  <c r="G6" i="5"/>
  <c r="H6" i="5" s="1"/>
  <c r="G5" i="5"/>
  <c r="H5" i="5" s="1"/>
  <c r="G4" i="5"/>
  <c r="H4" i="5" s="1"/>
  <c r="G3" i="5"/>
  <c r="H3" i="5" s="1"/>
  <c r="G2" i="5"/>
  <c r="H2" i="5" s="1"/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2" i="1"/>
</calcChain>
</file>

<file path=xl/sharedStrings.xml><?xml version="1.0" encoding="utf-8"?>
<sst xmlns="http://schemas.openxmlformats.org/spreadsheetml/2006/main" count="701" uniqueCount="305">
  <si>
    <t>Vertical</t>
  </si>
  <si>
    <t xml:space="preserve">Item code </t>
  </si>
  <si>
    <t>Description</t>
  </si>
  <si>
    <t>Model</t>
  </si>
  <si>
    <t>Category</t>
  </si>
  <si>
    <t>Type</t>
  </si>
  <si>
    <t>Monthly 
Average Plan</t>
  </si>
  <si>
    <t>LEPSAC</t>
  </si>
  <si>
    <t>015303309</t>
  </si>
  <si>
    <t xml:space="preserve">AOS Tank </t>
  </si>
  <si>
    <t>F6R</t>
  </si>
  <si>
    <t>Stranger</t>
  </si>
  <si>
    <t>Lean</t>
  </si>
  <si>
    <t>015303598</t>
  </si>
  <si>
    <t>F5 R</t>
  </si>
  <si>
    <t>015308468</t>
  </si>
  <si>
    <t>F5 US</t>
  </si>
  <si>
    <t>015308469</t>
  </si>
  <si>
    <t>F6 US</t>
  </si>
  <si>
    <t>015312211</t>
  </si>
  <si>
    <t>VAVE</t>
  </si>
  <si>
    <t>015314024</t>
  </si>
  <si>
    <t>F7US</t>
  </si>
  <si>
    <t>Non Lean</t>
  </si>
  <si>
    <t>ENCAP</t>
  </si>
  <si>
    <t>015314208</t>
  </si>
  <si>
    <t>Air Receiver</t>
  </si>
  <si>
    <t>EN53 SPVD</t>
  </si>
  <si>
    <t>Runner</t>
  </si>
  <si>
    <t>015314209</t>
  </si>
  <si>
    <t>EN73 SPVD</t>
  </si>
  <si>
    <t>015315217</t>
  </si>
  <si>
    <t>500 V3 SPVD</t>
  </si>
  <si>
    <t>SEPSAC</t>
  </si>
  <si>
    <t>015315666</t>
  </si>
  <si>
    <t>F2A</t>
  </si>
  <si>
    <t>Milk Run</t>
  </si>
  <si>
    <t>015317035</t>
  </si>
  <si>
    <t>F2 US</t>
  </si>
  <si>
    <t>015317157</t>
  </si>
  <si>
    <t>F7 R</t>
  </si>
  <si>
    <t>015317491</t>
  </si>
  <si>
    <t>F3A</t>
  </si>
  <si>
    <t>015318148</t>
  </si>
  <si>
    <t>F4A</t>
  </si>
  <si>
    <t>015318382</t>
  </si>
  <si>
    <t>F3 US</t>
  </si>
  <si>
    <t>015319440</t>
  </si>
  <si>
    <t>F4A75 R</t>
  </si>
  <si>
    <t>015319653</t>
  </si>
  <si>
    <t>F4A75 US</t>
  </si>
  <si>
    <t>015321062</t>
  </si>
  <si>
    <t>F4A US</t>
  </si>
  <si>
    <t>015321133</t>
  </si>
  <si>
    <t>F2 CRN</t>
  </si>
  <si>
    <t xml:space="preserve">015321134 </t>
  </si>
  <si>
    <t>F3 CRN</t>
  </si>
  <si>
    <t>015321358</t>
  </si>
  <si>
    <t>PG 90</t>
  </si>
  <si>
    <t>015323667</t>
  </si>
  <si>
    <t>F4 CRN</t>
  </si>
  <si>
    <t>015324218</t>
  </si>
  <si>
    <t>EG90</t>
  </si>
  <si>
    <t>015325013</t>
  </si>
  <si>
    <t>EG90 US</t>
  </si>
  <si>
    <t>RCD</t>
  </si>
  <si>
    <t>020226410</t>
  </si>
  <si>
    <t>HV 21</t>
  </si>
  <si>
    <t>020230030</t>
  </si>
  <si>
    <t>420R</t>
  </si>
  <si>
    <t>020370570</t>
  </si>
  <si>
    <t>220 Oil free</t>
  </si>
  <si>
    <t>020377890</t>
  </si>
  <si>
    <t>020378720</t>
  </si>
  <si>
    <t>500DCI</t>
  </si>
  <si>
    <t>020378910</t>
  </si>
  <si>
    <t>420 SWS</t>
  </si>
  <si>
    <t>020379390</t>
  </si>
  <si>
    <t>220 AUS</t>
  </si>
  <si>
    <t>020379500</t>
  </si>
  <si>
    <t>02038047A</t>
  </si>
  <si>
    <t>8047A</t>
  </si>
  <si>
    <t>02038075A</t>
  </si>
  <si>
    <t>8075A</t>
  </si>
  <si>
    <t>02038156A</t>
  </si>
  <si>
    <t>250LD</t>
  </si>
  <si>
    <t>02038157A</t>
  </si>
  <si>
    <t>160LD</t>
  </si>
  <si>
    <t>02038167A</t>
  </si>
  <si>
    <t>500LD</t>
  </si>
  <si>
    <t>DPSAC</t>
  </si>
  <si>
    <t>035301161</t>
  </si>
  <si>
    <t>900/200</t>
  </si>
  <si>
    <t>035302127</t>
  </si>
  <si>
    <t>035302707</t>
  </si>
  <si>
    <t>600/100</t>
  </si>
  <si>
    <t>035303534</t>
  </si>
  <si>
    <t>035304505</t>
  </si>
  <si>
    <t>PG 500</t>
  </si>
  <si>
    <t>035304784</t>
  </si>
  <si>
    <t>G2</t>
  </si>
  <si>
    <t>035305191</t>
  </si>
  <si>
    <t>G3</t>
  </si>
  <si>
    <t>035305257</t>
  </si>
  <si>
    <t>035305279</t>
  </si>
  <si>
    <t>035305289</t>
  </si>
  <si>
    <t>035305355</t>
  </si>
  <si>
    <t>035305370</t>
  </si>
  <si>
    <t>5370 V2</t>
  </si>
  <si>
    <t>Repeater</t>
  </si>
  <si>
    <t>035305428</t>
  </si>
  <si>
    <t>5428 V2</t>
  </si>
  <si>
    <t>035305496</t>
  </si>
  <si>
    <t>035305542</t>
  </si>
  <si>
    <t>ROTAIR</t>
  </si>
  <si>
    <t>037-056825-S</t>
  </si>
  <si>
    <t>Rotair us</t>
  </si>
  <si>
    <t>037-05682-S03</t>
  </si>
  <si>
    <t>Rotair R</t>
  </si>
  <si>
    <t>Max Inventory 
Stock</t>
  </si>
  <si>
    <t>Pending 
Trigger</t>
  </si>
  <si>
    <t>RPL days to Delivery</t>
  </si>
  <si>
    <t>Long seam</t>
  </si>
  <si>
    <t>Dish fit up</t>
  </si>
  <si>
    <t>Cirseam welding</t>
  </si>
  <si>
    <t>Part assembly</t>
  </si>
  <si>
    <t>Full welding</t>
  </si>
  <si>
    <t>Hydro Testing</t>
  </si>
  <si>
    <t>Powder coating</t>
  </si>
  <si>
    <t>PDI</t>
  </si>
  <si>
    <t>FG</t>
  </si>
  <si>
    <t>Total Inv</t>
  </si>
  <si>
    <t>Modified Release plan</t>
  </si>
  <si>
    <t>Long_seam_CT</t>
  </si>
  <si>
    <t>Dish_fit_up_CT</t>
  </si>
  <si>
    <t>Cirseam_welding_CT</t>
  </si>
  <si>
    <t>Part_assembly_CT</t>
  </si>
  <si>
    <t>Full_welding_CT</t>
  </si>
  <si>
    <t>Hydro_Testing_CT</t>
  </si>
  <si>
    <t>Powder_coating_CT</t>
  </si>
  <si>
    <t>PDI_CT</t>
  </si>
  <si>
    <t>Robo_Welding_CT</t>
  </si>
  <si>
    <t>Sub_Assembly_CT</t>
  </si>
  <si>
    <t>Daily Suggested Release Plan</t>
  </si>
  <si>
    <t>Dispatched</t>
  </si>
  <si>
    <t>Trigger Failure</t>
  </si>
  <si>
    <t>Daily Max Plan</t>
  </si>
  <si>
    <t>Monthly Dispatch</t>
  </si>
  <si>
    <t>E.code</t>
  </si>
  <si>
    <t>Name of the Employee</t>
  </si>
  <si>
    <t>Company / Contract</t>
  </si>
  <si>
    <t>DOJ</t>
  </si>
  <si>
    <t>Today</t>
  </si>
  <si>
    <t>Tenure (Years)</t>
  </si>
  <si>
    <t>Stage</t>
  </si>
  <si>
    <t>Bharath.N</t>
  </si>
  <si>
    <t xml:space="preserve">Critical </t>
  </si>
  <si>
    <t>Regular</t>
  </si>
  <si>
    <t>A. Arivalaken</t>
  </si>
  <si>
    <t>SSG</t>
  </si>
  <si>
    <t>Vinyagam</t>
  </si>
  <si>
    <t>Full Welding</t>
  </si>
  <si>
    <t>Satheesh</t>
  </si>
  <si>
    <t>Ganesan.S</t>
  </si>
  <si>
    <t>Full Welding - DP&amp;LEP</t>
  </si>
  <si>
    <t>Senthilkumar.R.S</t>
  </si>
  <si>
    <t>Siva sankar.B</t>
  </si>
  <si>
    <t>Willies.M</t>
  </si>
  <si>
    <t>Raju.M</t>
  </si>
  <si>
    <t>A Deepan</t>
  </si>
  <si>
    <t>A Nagaraj</t>
  </si>
  <si>
    <t>Secure</t>
  </si>
  <si>
    <t>Chandramohan</t>
  </si>
  <si>
    <t>M Sathish</t>
  </si>
  <si>
    <t>LFS</t>
  </si>
  <si>
    <t>Nareshkumar.R</t>
  </si>
  <si>
    <t>Robot</t>
  </si>
  <si>
    <t>Ramkumar.J</t>
  </si>
  <si>
    <t>Sub assembly welding-DP&amp;LEP</t>
  </si>
  <si>
    <t>Murali</t>
  </si>
  <si>
    <t>G Saravanakumar</t>
  </si>
  <si>
    <t>Parts Assy (ROCD)</t>
  </si>
  <si>
    <t>Kannan.S</t>
  </si>
  <si>
    <t>Long Seam</t>
  </si>
  <si>
    <t>Muthu.V</t>
  </si>
  <si>
    <t>Selvaraj</t>
  </si>
  <si>
    <t>Parts Assy ( RCD)</t>
  </si>
  <si>
    <t>P Prasannakumar</t>
  </si>
  <si>
    <t>Parts Assy-DP&amp;LEP</t>
  </si>
  <si>
    <t>A David raja</t>
  </si>
  <si>
    <t>J Naveenkumar</t>
  </si>
  <si>
    <t>Velusamy.S</t>
  </si>
  <si>
    <t>R Prabu</t>
  </si>
  <si>
    <t>Muthukumar</t>
  </si>
  <si>
    <t>Kannan.G</t>
  </si>
  <si>
    <t>Rathish.M</t>
  </si>
  <si>
    <t>N. Krishnaraj</t>
  </si>
  <si>
    <t>Kalaiarasi</t>
  </si>
  <si>
    <t>R Brindha</t>
  </si>
  <si>
    <t>Suryaprakash</t>
  </si>
  <si>
    <t>Vignesh</t>
  </si>
  <si>
    <t>Shot blasting</t>
  </si>
  <si>
    <t>Prakasam.M</t>
  </si>
  <si>
    <t>Hydro</t>
  </si>
  <si>
    <t>M kannan</t>
  </si>
  <si>
    <t>Long seam Cleaning</t>
  </si>
  <si>
    <t>Mahendran.P</t>
  </si>
  <si>
    <t>Cir Seam Weld</t>
  </si>
  <si>
    <t>Vellingiri.M</t>
  </si>
  <si>
    <t>Deepakkumar.C</t>
  </si>
  <si>
    <t>K Gopinath</t>
  </si>
  <si>
    <t xml:space="preserve">Muthaiah </t>
  </si>
  <si>
    <t>Dish fit up - DP&amp;LEP</t>
  </si>
  <si>
    <t>K. Meganathan</t>
  </si>
  <si>
    <t>Dish fit up-RCD&amp;SEPSAC</t>
  </si>
  <si>
    <t>Rajeshkumar.V.P</t>
  </si>
  <si>
    <t>Rolling</t>
  </si>
  <si>
    <t>Antony John.R</t>
  </si>
  <si>
    <t>K Karthi</t>
  </si>
  <si>
    <t>Powder Coating</t>
  </si>
  <si>
    <t>S. Sivakumar</t>
  </si>
  <si>
    <t>Kumarasamy</t>
  </si>
  <si>
    <t>Saran</t>
  </si>
  <si>
    <t>R. Praveen kumar</t>
  </si>
  <si>
    <t>Hydro Helper</t>
  </si>
  <si>
    <t>Kannabiran.U</t>
  </si>
  <si>
    <t>K. Vijay</t>
  </si>
  <si>
    <t>Dish fit-up</t>
  </si>
  <si>
    <t>Prasanth.B</t>
  </si>
  <si>
    <t>Dish fit up-RCD,Access&amp;ENGC</t>
  </si>
  <si>
    <t>SK Tamilselvan</t>
  </si>
  <si>
    <t>Forklift operator</t>
  </si>
  <si>
    <t>Released</t>
  </si>
  <si>
    <t>S.NO</t>
  </si>
  <si>
    <t>KV Praveen</t>
  </si>
  <si>
    <t>Quality</t>
  </si>
  <si>
    <t>Column1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</si>
  <si>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</si>
  <si>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</si>
  <si>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</si>
  <si>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</si>
  <si>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</si>
  <si>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</si>
  <si>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</si>
  <si>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</si>
  <si>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</si>
  <si>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</si>
  <si>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</si>
  <si>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</si>
  <si>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</si>
  <si>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</si>
  <si>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</si>
  <si>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</si>
  <si>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</si>
  <si>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</si>
  <si>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</si>
  <si>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</si>
  <si>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</si>
  <si>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</si>
  <si>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</si>
  <si>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</si>
  <si>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</si>
  <si>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</si>
  <si>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</si>
  <si>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</si>
  <si>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</si>
  <si>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</si>
  <si>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</si>
  <si>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Jenith Prbu</t>
  </si>
  <si>
    <t>NAPS</t>
  </si>
  <si>
    <t>Rama kamatchi KE</t>
  </si>
  <si>
    <t>Stores</t>
  </si>
  <si>
    <t>Saravanan.K</t>
  </si>
  <si>
    <t>Vijayakumar.M</t>
  </si>
  <si>
    <t>Store Helper</t>
  </si>
  <si>
    <t>Dhanabagiyam</t>
  </si>
  <si>
    <t>Muruganantham</t>
  </si>
  <si>
    <t>V Arunkumar</t>
  </si>
  <si>
    <t>Data entry</t>
  </si>
  <si>
    <t>G Jeevananthan</t>
  </si>
  <si>
    <t>A Vijayakumar</t>
  </si>
  <si>
    <t>Store Assistant</t>
  </si>
  <si>
    <t>S Gokulkumar</t>
  </si>
  <si>
    <t>Store</t>
  </si>
  <si>
    <t>P Karthik</t>
  </si>
  <si>
    <t>ME</t>
  </si>
  <si>
    <t>Saranyadevi</t>
  </si>
  <si>
    <t>Supervisor</t>
  </si>
  <si>
    <t>R Harikumaran</t>
  </si>
  <si>
    <t>Ambulance driver</t>
  </si>
  <si>
    <t>D Vijay Nirmal</t>
  </si>
  <si>
    <t>Cir Seam</t>
  </si>
  <si>
    <t>Robo Welding</t>
  </si>
  <si>
    <t>Parts Assembly</t>
  </si>
  <si>
    <t>Full Welding  (inc Sub Assembly)</t>
  </si>
  <si>
    <t>Hydro test</t>
  </si>
  <si>
    <t>Shot Blasting &amp; Powder co</t>
  </si>
  <si>
    <t>Stages</t>
  </si>
  <si>
    <t>SFE</t>
  </si>
  <si>
    <t>CL</t>
  </si>
  <si>
    <t>Daily Running Shifts</t>
  </si>
  <si>
    <t>Tot Req</t>
  </si>
  <si>
    <t xml:space="preserve">Avg Output </t>
  </si>
  <si>
    <t>Predicted output</t>
  </si>
  <si>
    <t>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</si>
</sst>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7">
    <numFmt numFmtId="43" formatCode="_ * #,##0.00_ ;_ * \-#,##0.00_ ;_ * &quot;-&quot;??_ ;_ @_ "/>
    <numFmt numFmtId="164" formatCode="&quot;$&quot;#,##0.00_);[Red]\(&quot;$&quot;#,##0.00\)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-* #,##0_-;\-* #,##0_-;_-* \-??_-;_-@_-"/>
    <numFmt numFmtId="168" formatCode="mmmmddyy"/>
    <numFmt numFmtId="169" formatCode="_-* #,##0_-;\-* #,##0_-;_-* \-_-;_-@_-"/>
    <numFmt numFmtId="170" formatCode="0_);\(0\)"/>
    <numFmt numFmtId="171" formatCode="ddmmmyyyy"/>
    <numFmt numFmtId="172" formatCode="mmmmddyyyy"/>
    <numFmt numFmtId="173" formatCode="yyddmmmm"/>
    <numFmt numFmtId="174" formatCode="yymmmmdd"/>
    <numFmt numFmtId="175" formatCode="yymmmdd"/>
    <numFmt numFmtId="176" formatCode="yyyyddmmmm"/>
    <numFmt numFmtId="177" formatCode="_-* #,##0\ _D_M_-;\-* #,##0\ _D_M_-;_-* &quot;- &quot;_D_M_-;_-@_-"/>
    <numFmt numFmtId="178" formatCode="_-* #,##0.0_-;\-* #,##0.0_-;_-* \-??_-;_-@_-"/>
    <numFmt numFmtId="179" formatCode="0%;[Red]\-0%"/>
    <numFmt numFmtId="180" formatCode="0%;\-0%"/>
    <numFmt numFmtId="181" formatCode="#,##0.00_ ;[Red]\-#,##0.00;\-"/>
    <numFmt numFmtId="182" formatCode="_(* #,##0.0_);_(* \(#,##0.0\);_(* #,##0_);_(@_)"/>
    <numFmt numFmtId="183" formatCode="\\#,##0.0;&quot;-\&quot;#,##0.0"/>
    <numFmt numFmtId="184" formatCode="General_)"/>
    <numFmt numFmtId="185" formatCode="0.000"/>
    <numFmt numFmtId="186" formatCode="mmm\ d\ yy"/>
    <numFmt numFmtId="187" formatCode="m\o\n\th\ d\,\ \ yyyy"/>
    <numFmt numFmtId="188" formatCode="m&quot;ont&quot;h\ d&quot;,  &quot;yyyy"/>
    <numFmt numFmtId="189" formatCode="mmm\-d\-yy"/>
    <numFmt numFmtId="190" formatCode="mmmm\-d\-yy"/>
    <numFmt numFmtId="191" formatCode="#,##0&quot; F&quot;;\-#,##0&quot; F&quot;"/>
    <numFmt numFmtId="192" formatCode="0.0000%"/>
    <numFmt numFmtId="193" formatCode="_(* #,##0.00_);_(* \(#,##0.00\);_(* \-??_);_(@_)"/>
    <numFmt numFmtId="194" formatCode="_ * #,##0.00_ ;_ * \-#,##0.00_ ;_ * \-??_ ;_ @_ "/>
    <numFmt numFmtId="195" formatCode="#.00"/>
    <numFmt numFmtId="196" formatCode="#,##0.00\ ;&quot; (&quot;#,##0.00\);&quot; -&quot;00\ ;@\ "/>
    <numFmt numFmtId="197" formatCode="* #,##0.00\ ;* \-#,##0.00\ ;* \-#\ ;@\ "/>
    <numFmt numFmtId="198" formatCode="* #,##0.00\ ;* \(#,##0.00\);* \-#\ ;@\ "/>
    <numFmt numFmtId="199" formatCode="#,##0.00\ ;&quot; -&quot;#,##0.00\ ;&quot; -&quot;00\ ;@\ "/>
    <numFmt numFmtId="200" formatCode="#,##0.000_);\(#,##0.000\)"/>
    <numFmt numFmtId="201" formatCode="dddd\,\ mmmm\ dd&quot;, &quot;yyyy"/>
    <numFmt numFmtId="202" formatCode="_ &quot;₹ &quot;* #,##0.00_ ;_ &quot;₹ &quot;* \-#,##0.00_ ;_ &quot;₹ &quot;* \-??_ ;_ @_ "/>
    <numFmt numFmtId="203" formatCode="&quot;$&quot;#,##0\ ;\(&quot;$&quot;#,##0\)"/>
    <numFmt numFmtId="204" formatCode="\$#,##0\ ;&quot;($&quot;#,##0\)"/>
    <numFmt numFmtId="205" formatCode="########.00"/>
    <numFmt numFmtId="206" formatCode="_(&quot;Rs&quot;* #,##0.00_);_(&quot;Rs&quot;* \(#,##0.00\);_(&quot;Rs&quot;* \-??_);_(@_)"/>
    <numFmt numFmtId="207" formatCode="m\o\n\th\ d\,\ yyyy"/>
    <numFmt numFmtId="208" formatCode="m&quot;ont&quot;h\ d&quot;, &quot;yyyy"/>
    <numFmt numFmtId="209" formatCode="_(* #,##0_);_(* \(#,##0\);_(* \-_);_(@_)"/>
    <numFmt numFmtId="210" formatCode="_-* #,##0_-;\-* #,##0_-;_-* &quot;-&quot;_-;_-@_-"/>
    <numFmt numFmtId="211" formatCode="_-* #,##0.00_-;\-* #,##0.00_-;_-* &quot;-&quot;??_-;_-@_-"/>
    <numFmt numFmtId="212" formatCode="yyyymmmmdd"/>
    <numFmt numFmtId="213" formatCode="_-* #,##0&quot; F&quot;_-;\-* #,##0&quot; F&quot;_-;_-* &quot;- F&quot;_-;_-@_-"/>
    <numFmt numFmtId="214" formatCode="0.000&quot;  &quot;"/>
    <numFmt numFmtId="215" formatCode="#."/>
    <numFmt numFmtId="216" formatCode="##0.000E+0"/>
    <numFmt numFmtId="217" formatCode="#"/>
    <numFmt numFmtId="218" formatCode="&quot;NT$&quot;#,##0.00;[Red]&quot;-NT$&quot;#,##0.00"/>
    <numFmt numFmtId="219" formatCode="_-* #,##0.00_-;\-* #,##0.00_-;_-* \-??_-;_-@_-"/>
    <numFmt numFmtId="220" formatCode="_-* #,##0\ _F_-;\-* #,##0\ _F_-;_-* &quot;-&quot;\ _F_-;_-@_-"/>
    <numFmt numFmtId="221" formatCode="_-* #,##0.00\ _F_-;\-* #,##0.00\ _F_-;_-* &quot;-&quot;??\ _F_-;_-@_-"/>
    <numFmt numFmtId="222" formatCode="_-\\* #,##0_-;&quot;-\&quot;* #,##0_-;_-\\* \-_-;_-@_-"/>
    <numFmt numFmtId="223" formatCode="_-\\* #,##0.00_-;&quot;-\&quot;* #,##0.00_-;_-\\* \-??_-;_-@_-"/>
    <numFmt numFmtId="224" formatCode="_-&quot;$&quot;* #,##0_-;\-&quot;$&quot;* #,##0_-;_-&quot;$&quot;* &quot;-&quot;_-;_-@_-"/>
    <numFmt numFmtId="225" formatCode="_-&quot;$&quot;* #,##0.00_-;\-&quot;$&quot;* #,##0.00_-;_-&quot;$&quot;* &quot;-&quot;??_-;_-@_-"/>
    <numFmt numFmtId="226" formatCode="#,##0.00&quot; F&quot;;[Red]\-#,##0.00&quot; F&quot;"/>
    <numFmt numFmtId="227" formatCode="#,##0;\(#,##0\);&quot;-   &quot;"/>
    <numFmt numFmtId="228" formatCode="[$₹-4009]#,##0.00;[Red]&quot;-&quot;[$₹-4009]#,##0.00"/>
    <numFmt numFmtId="229" formatCode="[$€-2]\ #,##0.00_);[Red]\([$€-2]\ #,##0.00\)"/>
    <numFmt numFmtId="230" formatCode="&quot;\&quot;#,##0.0;\-&quot;\&quot;#,##0.0"/>
    <numFmt numFmtId="231" formatCode="_-* #,##0\ _F_-;\-* #,##0\ _F_-;_-* &quot;- &quot;_F_-;_-@_-"/>
    <numFmt numFmtId="232" formatCode="&quot;See Note &quot;\ #"/>
    <numFmt numFmtId="233" formatCode="\$#,##0\ ;\(\$#,##0\)"/>
    <numFmt numFmtId="234" formatCode="_-&quot;L.&quot;\ * #,##0_-;\-&quot;L.&quot;\ * #,##0_-;_-&quot;L.&quot;\ * &quot;-&quot;_-;_-@_-"/>
    <numFmt numFmtId="235" formatCode="_-&quot;L.&quot;\ * #,##0.00_-;\-&quot;L.&quot;\ * #,##0.00_-;_-&quot;L.&quot;\ * &quot;-&quot;??_-;_-@_-"/>
    <numFmt numFmtId="236" formatCode="\\#,##0.00;[Red]&quot;\-&quot;#,##0.00"/>
    <numFmt numFmtId="237" formatCode="\\#,##0;[Red]&quot;\-&quot;#,##0"/>
    <numFmt numFmtId="238" formatCode="_-\£* #,##0.00_-;&quot;-£&quot;* #,##0.00_-;_-\£* \-??_-;_-@_-"/>
    <numFmt numFmtId="239" formatCode="_-\£* #,##0_-;&quot;-£&quot;* #,##0_-;_-\£* \-_-;_-@_-"/>
  </numFmts>
  <fonts count="12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0"/>
      <name val="Arial"/>
      <family val="2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ＭＳ Ｐゴシック"/>
      <family val="3"/>
      <charset val="128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1"/>
      <color indexed="9"/>
      <name val="Calibri"/>
      <family val="2"/>
    </font>
    <font>
      <b/>
      <sz val="12"/>
      <name val="MS Sans Serif"/>
      <family val="2"/>
    </font>
    <font>
      <sz val="8"/>
      <name val="Times New Roman"/>
      <family val="1"/>
    </font>
    <font>
      <sz val="9"/>
      <name val="Arial MT"/>
    </font>
    <font>
      <sz val="9"/>
      <name val="Arial MT"/>
      <family val="2"/>
    </font>
    <font>
      <sz val="11"/>
      <color indexed="20"/>
      <name val="Calibri"/>
      <family val="2"/>
    </font>
    <font>
      <sz val="8"/>
      <color indexed="18"/>
      <name val="Arial"/>
      <family val="2"/>
    </font>
    <font>
      <sz val="8"/>
      <color indexed="18"/>
      <name val="Helv"/>
      <family val="2"/>
    </font>
    <font>
      <sz val="12"/>
      <name val="Tms Rmn"/>
    </font>
    <font>
      <sz val="12"/>
      <name val="Times New Roman"/>
      <family val="1"/>
    </font>
    <font>
      <sz val="9"/>
      <name val="Times New Roman"/>
      <family val="1"/>
    </font>
    <font>
      <sz val="10"/>
      <name val="Courier New"/>
      <family val="3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b/>
      <sz val="10"/>
      <name val="Times New Roman"/>
      <family val="1"/>
    </font>
    <font>
      <b/>
      <sz val="10"/>
      <name val="Tms Rmn"/>
      <family val="1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22"/>
      <name val="MS Sans Serif"/>
      <family val="2"/>
    </font>
    <font>
      <sz val="10"/>
      <name val="MS Serif"/>
      <family val="1"/>
    </font>
    <font>
      <sz val="11"/>
      <name val="Arial"/>
      <family val="2"/>
    </font>
    <font>
      <b/>
      <sz val="12"/>
      <color indexed="9"/>
      <name val="Arial"/>
      <family val="2"/>
    </font>
    <font>
      <sz val="8"/>
      <color indexed="8"/>
      <name val="Arial"/>
      <family val="2"/>
    </font>
    <font>
      <sz val="1"/>
      <color indexed="8"/>
      <name val="Courier"/>
      <family val="3"/>
    </font>
    <font>
      <sz val="1"/>
      <color indexed="8"/>
      <name val="Courier New"/>
      <family val="3"/>
    </font>
    <font>
      <sz val="10"/>
      <name val="MS Sans Serif"/>
      <family val="2"/>
    </font>
    <font>
      <sz val="10"/>
      <color indexed="24"/>
      <name val="Arial"/>
      <family val="2"/>
    </font>
    <font>
      <sz val="10"/>
      <color indexed="16"/>
      <name val="MS Serif"/>
      <family val="1"/>
    </font>
    <font>
      <sz val="10"/>
      <name val="Arial"/>
      <family val="2"/>
      <charset val="1"/>
    </font>
    <font>
      <b/>
      <sz val="11"/>
      <color indexed="8"/>
      <name val="Calibri"/>
      <family val="2"/>
    </font>
    <font>
      <sz val="11"/>
      <color indexed="8"/>
      <name val="Calibri"/>
      <family val="2"/>
      <charset val="1"/>
    </font>
    <font>
      <b/>
      <sz val="10"/>
      <name val="Arial"/>
      <family val="2"/>
      <charset val="1"/>
    </font>
    <font>
      <sz val="10"/>
      <color indexed="56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2"/>
      <name val="Helv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i/>
      <sz val="16"/>
      <color indexed="8"/>
      <name val="Calibri"/>
      <family val="2"/>
    </font>
    <font>
      <b/>
      <sz val="15"/>
      <color indexed="56"/>
      <name val="Calibri"/>
      <family val="2"/>
    </font>
    <font>
      <b/>
      <sz val="15"/>
      <color indexed="54"/>
      <name val="Calibri"/>
      <family val="2"/>
    </font>
    <font>
      <b/>
      <sz val="13"/>
      <color indexed="56"/>
      <name val="Calibri"/>
      <family val="2"/>
    </font>
    <font>
      <b/>
      <sz val="13"/>
      <color indexed="54"/>
      <name val="Calibri"/>
      <family val="2"/>
    </font>
    <font>
      <b/>
      <sz val="11"/>
      <color indexed="56"/>
      <name val="Calibri"/>
      <family val="2"/>
    </font>
    <font>
      <b/>
      <sz val="11"/>
      <color indexed="54"/>
      <name val="Calibri"/>
      <family val="2"/>
    </font>
    <font>
      <b/>
      <sz val="1"/>
      <color indexed="8"/>
      <name val="Courier"/>
      <family val="3"/>
    </font>
    <font>
      <sz val="11"/>
      <name val="ＭＳ 明朝"/>
      <family val="1"/>
      <charset val="128"/>
    </font>
    <font>
      <b/>
      <sz val="1"/>
      <color indexed="8"/>
      <name val="Courier New"/>
      <family val="3"/>
    </font>
    <font>
      <u/>
      <sz val="10"/>
      <color indexed="12"/>
      <name val="Arial"/>
      <family val="2"/>
    </font>
    <font>
      <u/>
      <sz val="10"/>
      <color indexed="12"/>
      <name val="Tahoma"/>
      <family val="2"/>
    </font>
    <font>
      <u/>
      <sz val="11"/>
      <color indexed="12"/>
      <name val="Calibri"/>
      <family val="2"/>
    </font>
    <font>
      <sz val="11"/>
      <color indexed="62"/>
      <name val="Calibri"/>
      <family val="2"/>
    </font>
    <font>
      <sz val="10"/>
      <color indexed="8"/>
      <name val="Arial Narrow"/>
      <family val="2"/>
    </font>
    <font>
      <sz val="6"/>
      <color indexed="13"/>
      <name val="Verdana"/>
      <family val="2"/>
    </font>
    <font>
      <sz val="6"/>
      <color indexed="13"/>
      <name val="Verdana"/>
      <family val="2"/>
      <charset val="1"/>
    </font>
    <font>
      <sz val="11"/>
      <color indexed="52"/>
      <name val="Calibri"/>
      <family val="2"/>
    </font>
    <font>
      <b/>
      <sz val="11"/>
      <name val="Helv"/>
    </font>
    <font>
      <b/>
      <sz val="11"/>
      <name val="Arial"/>
      <family val="2"/>
    </font>
    <font>
      <sz val="10"/>
      <name val="Times New Roman"/>
      <family val="1"/>
    </font>
    <font>
      <b/>
      <sz val="10"/>
      <name val="Comic Sans MS"/>
      <family val="4"/>
    </font>
    <font>
      <sz val="11"/>
      <color indexed="60"/>
      <name val="Calibri"/>
      <family val="2"/>
    </font>
    <font>
      <sz val="7"/>
      <name val="Small Fonts"/>
      <family val="2"/>
    </font>
    <font>
      <sz val="12"/>
      <name val="標準明朝"/>
      <family val="1"/>
      <charset val="128"/>
    </font>
    <font>
      <sz val="9"/>
      <name val="Palatino Linotype"/>
      <family val="1"/>
    </font>
    <font>
      <sz val="12"/>
      <name val="Arial"/>
      <family val="2"/>
    </font>
    <font>
      <sz val="10"/>
      <color indexed="8"/>
      <name val="Calibri"/>
      <family val="2"/>
    </font>
    <font>
      <sz val="11"/>
      <color indexed="63"/>
      <name val="Calibri"/>
      <family val="2"/>
    </font>
    <font>
      <b/>
      <sz val="11"/>
      <color indexed="63"/>
      <name val="Calibri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sz val="10"/>
      <name val="Mangal"/>
      <family val="2"/>
    </font>
    <font>
      <b/>
      <sz val="11"/>
      <color indexed="8"/>
      <name val="Arial"/>
      <family val="2"/>
    </font>
    <font>
      <b/>
      <sz val="10"/>
      <name val="MS Sans Serif"/>
      <family val="2"/>
    </font>
    <font>
      <sz val="8"/>
      <name val="ＭＳ 明朝"/>
      <family val="1"/>
      <charset val="128"/>
    </font>
    <font>
      <b/>
      <i/>
      <u/>
      <sz val="11"/>
      <color indexed="8"/>
      <name val="Calibri"/>
      <family val="2"/>
    </font>
    <font>
      <b/>
      <i/>
      <u/>
      <sz val="9"/>
      <color indexed="8"/>
      <name val="Arial"/>
      <family val="2"/>
    </font>
    <font>
      <sz val="8"/>
      <name val="Helv"/>
      <family val="2"/>
    </font>
    <font>
      <sz val="10"/>
      <color indexed="10"/>
      <name val="Arial"/>
      <family val="2"/>
    </font>
    <font>
      <b/>
      <sz val="8"/>
      <color indexed="8"/>
      <name val="Arial"/>
      <family val="2"/>
    </font>
    <font>
      <b/>
      <sz val="8"/>
      <color indexed="8"/>
      <name val="Helv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8"/>
      <name val="Helv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u/>
      <sz val="10"/>
      <color indexed="12"/>
      <name val="ＭＳ Ｐゴシック"/>
      <family val="3"/>
      <charset val="128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2"/>
      <name val="宋体"/>
      <charset val="134"/>
    </font>
    <font>
      <sz val="9"/>
      <name val="ＭＳ 明朝"/>
      <family val="1"/>
      <charset val="128"/>
    </font>
    <font>
      <u/>
      <sz val="10"/>
      <color indexed="20"/>
      <name val="ＭＳ ゴシック"/>
      <family val="3"/>
      <charset val="128"/>
    </font>
    <font>
      <sz val="10"/>
      <name val="Verdana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charset val="1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</fonts>
  <fills count="9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27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31"/>
        <bgColor indexed="41"/>
      </patternFill>
    </fill>
    <fill>
      <patternFill patternType="solid">
        <fgColor indexed="31"/>
        <bgColor indexed="22"/>
      </patternFill>
    </fill>
    <fill>
      <patternFill patternType="solid">
        <fgColor indexed="27"/>
        <bgColor indexed="41"/>
      </patternFill>
    </fill>
    <fill>
      <patternFill patternType="solid">
        <f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45"/>
        <bgColor indexed="19"/>
      </patternFill>
    </fill>
    <fill>
      <patternFill patternType="solid">
        <fgColor indexed="47"/>
        <bgColor indexed="51"/>
      </patternFill>
    </fill>
    <fill>
      <patternFill patternType="solid">
        <fgColor indexed="42"/>
      </patternFill>
    </fill>
    <fill>
      <patternFill patternType="solid">
        <fgColor indexed="42"/>
        <bgColor indexed="27"/>
      </patternFill>
    </fill>
    <fill>
      <patternFill patternType="solid">
        <fgColor indexed="42"/>
        <bgColor indexed="26"/>
      </patternFill>
    </fill>
    <fill>
      <patternFill patternType="solid">
        <fgColor indexed="46"/>
      </patternFill>
    </fill>
    <fill>
      <patternFill patternType="solid">
        <fgColor indexed="46"/>
        <bgColor indexed="24"/>
      </patternFill>
    </fill>
    <fill>
      <patternFill patternType="solid">
        <fgColor indexed="26"/>
        <bgColor indexed="42"/>
      </patternFill>
    </fill>
    <fill>
      <patternFill patternType="solid">
        <fgColor indexed="27"/>
      </patternFill>
    </fill>
    <fill>
      <patternFill patternType="solid">
        <fgColor indexed="27"/>
        <bgColor indexed="42"/>
      </patternFill>
    </fill>
    <fill>
      <patternFill patternType="solid">
        <fgColor indexed="47"/>
      </patternFill>
    </fill>
    <fill>
      <patternFill patternType="solid">
        <fgColor indexed="47"/>
        <bgColor indexed="41"/>
      </patternFill>
    </fill>
    <fill>
      <patternFill patternType="solid">
        <fgColor indexed="22"/>
        <bgColor indexed="31"/>
      </patternFill>
    </fill>
    <fill>
      <patternFill patternType="solid">
        <fgColor indexed="47"/>
        <bgColor indexed="22"/>
      </patternFill>
    </fill>
    <fill>
      <patternFill patternType="solid">
        <fgColor indexed="44"/>
      </patternFill>
    </fill>
    <fill>
      <patternFill patternType="solid">
        <fgColor indexed="44"/>
        <bgColor indexed="31"/>
      </patternFill>
    </fill>
    <fill>
      <patternFill patternType="solid">
        <fgColor indexed="29"/>
      </patternFill>
    </fill>
    <fill>
      <patternFill patternType="solid">
        <fgColor indexed="29"/>
        <bgColor indexed="45"/>
      </patternFill>
    </fill>
    <fill>
      <patternFill patternType="solid">
        <fgColor indexed="29"/>
        <bgColor indexed="19"/>
      </patternFill>
    </fill>
    <fill>
      <patternFill patternType="solid">
        <fgColor indexed="11"/>
      </patternFill>
    </fill>
    <fill>
      <patternFill patternType="solid">
        <fgColor indexed="11"/>
        <bgColor indexed="49"/>
      </patternFill>
    </fill>
    <fill>
      <patternFill patternType="solid">
        <fgColor indexed="11"/>
        <bgColor indexed="57"/>
      </patternFill>
    </fill>
    <fill>
      <patternFill patternType="solid">
        <fgColor indexed="51"/>
      </patternFill>
    </fill>
    <fill>
      <patternFill patternType="solid">
        <fgColor indexed="51"/>
        <bgColor indexed="13"/>
      </patternFill>
    </fill>
    <fill>
      <patternFill patternType="solid">
        <fgColor indexed="51"/>
        <bgColor indexed="34"/>
      </patternFill>
    </fill>
    <fill>
      <patternFill patternType="solid">
        <fgColor indexed="30"/>
      </patternFill>
    </fill>
    <fill>
      <patternFill patternType="solid">
        <fgColor indexed="30"/>
        <bgColor indexed="21"/>
      </patternFill>
    </fill>
    <fill>
      <patternFill patternType="solid">
        <fgColor indexed="55"/>
        <bgColor indexed="50"/>
      </patternFill>
    </fill>
    <fill>
      <patternFill patternType="solid">
        <fgColor indexed="36"/>
      </patternFill>
    </fill>
    <fill>
      <patternFill patternType="solid">
        <fgColor indexed="20"/>
        <bgColor indexed="36"/>
      </patternFill>
    </fill>
    <fill>
      <patternFill patternType="solid">
        <fgColor indexed="43"/>
        <bgColor indexed="26"/>
      </patternFill>
    </fill>
    <fill>
      <patternFill patternType="solid">
        <fgColor indexed="49"/>
      </patternFill>
    </fill>
    <fill>
      <patternFill patternType="solid">
        <fgColor indexed="49"/>
        <bgColor indexed="40"/>
      </patternFill>
    </fill>
    <fill>
      <patternFill patternType="solid">
        <fgColor indexed="52"/>
      </patternFill>
    </fill>
    <fill>
      <patternFill patternType="solid">
        <fgColor indexed="52"/>
        <bgColor indexed="51"/>
      </patternFill>
    </fill>
    <fill>
      <patternFill patternType="solid">
        <fgColor indexed="52"/>
        <bgColor indexed="34"/>
      </patternFill>
    </fill>
    <fill>
      <patternFill patternType="solid">
        <fgColor indexed="62"/>
      </patternFill>
    </fill>
    <fill>
      <patternFill patternType="solid">
        <fgColor indexed="62"/>
        <bgColor indexed="56"/>
      </patternFill>
    </fill>
    <fill>
      <patternFill patternType="solid">
        <fgColor indexed="10"/>
      </patternFill>
    </fill>
    <fill>
      <patternFill patternType="solid">
        <fgColor indexed="10"/>
        <bgColor indexed="60"/>
      </patternFill>
    </fill>
    <fill>
      <patternFill patternType="solid">
        <fgColor indexed="57"/>
      </patternFill>
    </fill>
    <fill>
      <patternFill patternType="solid">
        <fgColor indexed="57"/>
        <bgColor indexed="21"/>
      </patternFill>
    </fill>
    <fill>
      <patternFill patternType="solid">
        <fgColor indexed="57"/>
        <bgColor indexed="49"/>
      </patternFill>
    </fill>
    <fill>
      <patternFill patternType="solid">
        <fgColor indexed="53"/>
      </patternFill>
    </fill>
    <fill>
      <patternFill patternType="solid">
        <fgColor indexed="53"/>
        <bgColor indexed="52"/>
      </patternFill>
    </fill>
    <fill>
      <patternFill patternType="solid">
        <fgColor indexed="53"/>
        <bgColor indexed="2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55"/>
        <bgColor indexed="23"/>
      </patternFill>
    </fill>
    <fill>
      <patternFill patternType="solid">
        <fgColor indexed="8"/>
        <bgColor indexed="58"/>
      </patternFill>
    </fill>
    <fill>
      <patternFill patternType="solid">
        <fgColor indexed="12"/>
        <bgColor indexed="39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13"/>
        <bgColor indexed="34"/>
      </patternFill>
    </fill>
    <fill>
      <patternFill patternType="solid">
        <fgColor indexed="13"/>
        <bgColor indexed="51"/>
      </patternFill>
    </fill>
    <fill>
      <patternFill patternType="solid">
        <fgColor indexed="23"/>
        <bgColor indexed="54"/>
      </patternFill>
    </fill>
    <fill>
      <patternFill patternType="solid">
        <fgColor indexed="13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31"/>
      </patternFill>
    </fill>
    <fill>
      <patternFill patternType="solid">
        <fgColor indexed="31"/>
        <bgColor indexed="13"/>
      </patternFill>
    </fill>
    <fill>
      <patternFill patternType="solid">
        <fgColor indexed="46"/>
        <bgColor indexed="45"/>
      </patternFill>
    </fill>
    <fill>
      <patternFill patternType="solid">
        <fgColor indexed="47"/>
        <bgColor indexed="13"/>
      </patternFill>
    </fill>
    <fill>
      <patternFill patternType="solid">
        <fgColor indexed="22"/>
        <bgColor indexed="24"/>
      </patternFill>
    </fill>
    <fill>
      <patternFill patternType="solid">
        <fgColor rgb="FFFF0343"/>
        <bgColor indexed="64"/>
      </patternFill>
    </fill>
    <fill>
      <patternFill patternType="solid">
        <fgColor theme="4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827">
    <xf numFmtId="0" fontId="0" fillId="0" borderId="0"/>
    <xf numFmtId="0" fontId="8" fillId="0" borderId="0"/>
    <xf numFmtId="0" fontId="13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2" fillId="15" borderId="0" applyNumberFormat="0" applyBorder="0" applyAlignment="0" applyProtection="0"/>
    <xf numFmtId="167" fontId="13" fillId="0" borderId="0" applyFill="0" applyBorder="0" applyAlignment="0" applyProtection="0"/>
    <xf numFmtId="168" fontId="13" fillId="0" borderId="0" applyFill="0" applyBorder="0" applyAlignment="0" applyProtection="0"/>
    <xf numFmtId="168" fontId="13" fillId="0" borderId="0" applyFill="0" applyBorder="0" applyAlignment="0" applyProtection="0"/>
    <xf numFmtId="169" fontId="13" fillId="0" borderId="0" applyFill="0" applyBorder="0" applyAlignment="0" applyProtection="0"/>
    <xf numFmtId="169" fontId="13" fillId="0" borderId="0" applyFill="0" applyBorder="0" applyAlignment="0" applyProtection="0"/>
    <xf numFmtId="170" fontId="13" fillId="0" borderId="0" applyFill="0" applyBorder="0" applyAlignment="0" applyProtection="0"/>
    <xf numFmtId="170" fontId="13" fillId="0" borderId="0" applyFill="0" applyBorder="0" applyAlignment="0" applyProtection="0"/>
    <xf numFmtId="38" fontId="13" fillId="0" borderId="0" applyFill="0" applyBorder="0" applyAlignment="0" applyProtection="0"/>
    <xf numFmtId="38" fontId="13" fillId="0" borderId="0" applyFill="0" applyBorder="0" applyAlignment="0" applyProtection="0"/>
    <xf numFmtId="0" fontId="13" fillId="0" borderId="0" applyFill="0" applyBorder="0" applyAlignment="0" applyProtection="0"/>
    <xf numFmtId="0" fontId="13" fillId="0" borderId="0" applyFill="0" applyBorder="0" applyAlignment="0" applyProtection="0"/>
    <xf numFmtId="171" fontId="13" fillId="0" borderId="0" applyFill="0" applyBorder="0" applyAlignment="0" applyProtection="0"/>
    <xf numFmtId="171" fontId="13" fillId="0" borderId="0" applyFill="0" applyBorder="0" applyAlignment="0" applyProtection="0"/>
    <xf numFmtId="172" fontId="13" fillId="0" borderId="0" applyFill="0" applyBorder="0" applyAlignment="0" applyProtection="0"/>
    <xf numFmtId="172" fontId="13" fillId="0" borderId="0" applyFill="0" applyBorder="0" applyAlignment="0" applyProtection="0"/>
    <xf numFmtId="173" fontId="13" fillId="0" borderId="0" applyFill="0" applyBorder="0" applyAlignment="0" applyProtection="0"/>
    <xf numFmtId="173" fontId="13" fillId="0" borderId="0" applyFill="0" applyBorder="0" applyAlignment="0" applyProtection="0"/>
    <xf numFmtId="174" fontId="13" fillId="0" borderId="0" applyFill="0" applyBorder="0" applyAlignment="0" applyProtection="0"/>
    <xf numFmtId="174" fontId="13" fillId="0" borderId="0" applyFill="0" applyBorder="0" applyAlignment="0" applyProtection="0"/>
    <xf numFmtId="175" fontId="13" fillId="0" borderId="0" applyFill="0" applyBorder="0" applyAlignment="0" applyProtection="0"/>
    <xf numFmtId="175" fontId="13" fillId="0" borderId="0" applyFill="0" applyBorder="0" applyAlignment="0" applyProtection="0"/>
    <xf numFmtId="176" fontId="13" fillId="0" borderId="0" applyFill="0" applyBorder="0" applyAlignment="0" applyProtection="0"/>
    <xf numFmtId="176" fontId="13" fillId="0" borderId="0" applyFill="0" applyBorder="0" applyAlignment="0" applyProtection="0"/>
    <xf numFmtId="167" fontId="13" fillId="0" borderId="0" applyFill="0" applyBorder="0" applyAlignment="0" applyProtection="0"/>
    <xf numFmtId="0" fontId="13" fillId="0" borderId="0" applyFill="0" applyBorder="0" applyAlignment="0" applyProtection="0"/>
    <xf numFmtId="173" fontId="13" fillId="0" borderId="0" applyFill="0" applyBorder="0" applyAlignment="0" applyProtection="0"/>
    <xf numFmtId="173" fontId="13" fillId="0" borderId="0" applyFill="0" applyBorder="0" applyAlignment="0" applyProtection="0"/>
    <xf numFmtId="0" fontId="13" fillId="0" borderId="0" applyFill="0" applyBorder="0" applyAlignment="0" applyProtection="0"/>
    <xf numFmtId="0" fontId="13" fillId="0" borderId="0" applyFill="0" applyBorder="0" applyAlignment="0" applyProtection="0"/>
    <xf numFmtId="176" fontId="13" fillId="0" borderId="0" applyFill="0" applyBorder="0" applyAlignment="0" applyProtection="0"/>
    <xf numFmtId="176" fontId="13" fillId="0" borderId="0" applyFill="0" applyBorder="0" applyAlignment="0" applyProtection="0"/>
    <xf numFmtId="175" fontId="13" fillId="0" borderId="0" applyFill="0" applyBorder="0" applyAlignment="0" applyProtection="0"/>
    <xf numFmtId="175" fontId="13" fillId="0" borderId="0" applyFill="0" applyBorder="0" applyAlignment="0" applyProtection="0"/>
    <xf numFmtId="38" fontId="13" fillId="0" borderId="0" applyFill="0" applyBorder="0" applyAlignment="0" applyProtection="0"/>
    <xf numFmtId="38" fontId="13" fillId="0" borderId="0" applyFill="0" applyBorder="0" applyAlignment="0" applyProtection="0"/>
    <xf numFmtId="177" fontId="13" fillId="0" borderId="0" applyFill="0" applyBorder="0" applyAlignment="0" applyProtection="0"/>
    <xf numFmtId="177" fontId="13" fillId="0" borderId="0" applyFill="0" applyBorder="0" applyAlignment="0" applyProtection="0"/>
    <xf numFmtId="168" fontId="13" fillId="0" borderId="0" applyFill="0" applyBorder="0" applyAlignment="0" applyProtection="0"/>
    <xf numFmtId="168" fontId="13" fillId="0" borderId="0" applyFill="0" applyBorder="0" applyAlignment="0" applyProtection="0"/>
    <xf numFmtId="178" fontId="13" fillId="0" borderId="0" applyFill="0" applyBorder="0" applyAlignment="0" applyProtection="0"/>
    <xf numFmtId="178" fontId="13" fillId="0" borderId="0" applyFill="0" applyBorder="0" applyAlignment="0" applyProtection="0"/>
    <xf numFmtId="170" fontId="13" fillId="0" borderId="0" applyFill="0" applyBorder="0" applyAlignment="0" applyProtection="0"/>
    <xf numFmtId="170" fontId="13" fillId="0" borderId="0" applyFill="0" applyBorder="0" applyAlignment="0" applyProtection="0"/>
    <xf numFmtId="171" fontId="13" fillId="0" borderId="0" applyFill="0" applyBorder="0" applyAlignment="0" applyProtection="0"/>
    <xf numFmtId="171" fontId="13" fillId="0" borderId="0" applyFill="0" applyBorder="0" applyAlignment="0" applyProtection="0"/>
    <xf numFmtId="179" fontId="13" fillId="0" borderId="0" applyFill="0" applyBorder="0" applyAlignment="0" applyProtection="0"/>
    <xf numFmtId="179" fontId="13" fillId="0" borderId="0" applyFill="0" applyBorder="0" applyAlignment="0" applyProtection="0"/>
    <xf numFmtId="0" fontId="13" fillId="0" borderId="0" applyFill="0" applyBorder="0" applyAlignment="0" applyProtection="0"/>
    <xf numFmtId="180" fontId="13" fillId="0" borderId="0" applyFill="0" applyBorder="0" applyAlignment="0" applyProtection="0"/>
    <xf numFmtId="180" fontId="13" fillId="0" borderId="0" applyFill="0" applyBorder="0" applyAlignment="0" applyProtection="0"/>
    <xf numFmtId="180" fontId="13" fillId="0" borderId="0" applyFill="0" applyBorder="0" applyAlignment="0" applyProtection="0"/>
    <xf numFmtId="180" fontId="13" fillId="0" borderId="0" applyFill="0" applyBorder="0" applyAlignment="0" applyProtection="0"/>
    <xf numFmtId="180" fontId="13" fillId="0" borderId="0" applyFill="0" applyBorder="0" applyAlignment="0" applyProtection="0"/>
    <xf numFmtId="180" fontId="13" fillId="0" borderId="0" applyFill="0" applyBorder="0" applyAlignment="0" applyProtection="0"/>
    <xf numFmtId="180" fontId="13" fillId="0" borderId="0" applyFill="0" applyBorder="0" applyAlignment="0" applyProtection="0"/>
    <xf numFmtId="180" fontId="13" fillId="0" borderId="0" applyFill="0" applyBorder="0" applyAlignment="0" applyProtection="0"/>
    <xf numFmtId="180" fontId="13" fillId="0" borderId="0" applyFill="0" applyBorder="0" applyAlignment="0" applyProtection="0"/>
    <xf numFmtId="180" fontId="13" fillId="0" borderId="0" applyFill="0" applyBorder="0" applyAlignment="0" applyProtection="0"/>
    <xf numFmtId="180" fontId="13" fillId="0" borderId="0" applyFill="0" applyBorder="0" applyAlignment="0" applyProtection="0"/>
    <xf numFmtId="180" fontId="13" fillId="0" borderId="0" applyFill="0" applyBorder="0" applyAlignment="0" applyProtection="0"/>
    <xf numFmtId="180" fontId="13" fillId="0" borderId="0" applyFill="0" applyBorder="0" applyAlignment="0" applyProtection="0"/>
    <xf numFmtId="180" fontId="13" fillId="0" borderId="0" applyFill="0" applyBorder="0" applyAlignment="0" applyProtection="0"/>
    <xf numFmtId="180" fontId="13" fillId="0" borderId="0" applyFill="0" applyBorder="0" applyAlignment="0" applyProtection="0"/>
    <xf numFmtId="180" fontId="13" fillId="0" borderId="0" applyFill="0" applyBorder="0" applyAlignment="0" applyProtection="0"/>
    <xf numFmtId="180" fontId="13" fillId="0" borderId="0" applyFill="0" applyBorder="0" applyAlignment="0" applyProtection="0"/>
    <xf numFmtId="180" fontId="13" fillId="0" borderId="0" applyFill="0" applyBorder="0" applyAlignment="0" applyProtection="0"/>
    <xf numFmtId="180" fontId="13" fillId="0" borderId="0" applyFill="0" applyBorder="0" applyAlignment="0" applyProtection="0"/>
    <xf numFmtId="180" fontId="13" fillId="0" borderId="0" applyFill="0" applyBorder="0" applyAlignment="0" applyProtection="0"/>
    <xf numFmtId="0" fontId="13" fillId="0" borderId="0" applyFill="0" applyBorder="0" applyAlignment="0" applyProtection="0"/>
    <xf numFmtId="179" fontId="13" fillId="0" borderId="0" applyFill="0" applyBorder="0" applyAlignment="0" applyProtection="0"/>
    <xf numFmtId="179" fontId="13" fillId="0" borderId="0" applyFill="0" applyBorder="0" applyAlignment="0" applyProtection="0"/>
    <xf numFmtId="179" fontId="13" fillId="0" borderId="0" applyFill="0" applyBorder="0" applyAlignment="0" applyProtection="0"/>
    <xf numFmtId="179" fontId="13" fillId="0" borderId="0" applyFill="0" applyBorder="0" applyAlignment="0" applyProtection="0"/>
    <xf numFmtId="179" fontId="13" fillId="0" borderId="0" applyFill="0" applyBorder="0" applyAlignment="0" applyProtection="0"/>
    <xf numFmtId="179" fontId="13" fillId="0" borderId="0" applyFill="0" applyBorder="0" applyAlignment="0" applyProtection="0"/>
    <xf numFmtId="167" fontId="13" fillId="0" borderId="0" applyFill="0" applyBorder="0" applyAlignment="0" applyProtection="0"/>
    <xf numFmtId="167" fontId="13" fillId="0" borderId="0" applyFill="0" applyBorder="0" applyAlignment="0" applyProtection="0"/>
    <xf numFmtId="174" fontId="13" fillId="0" borderId="0" applyFill="0" applyBorder="0" applyAlignment="0" applyProtection="0"/>
    <xf numFmtId="174" fontId="13" fillId="0" borderId="0" applyFill="0" applyBorder="0" applyAlignment="0" applyProtection="0"/>
    <xf numFmtId="172" fontId="13" fillId="0" borderId="0" applyFill="0" applyBorder="0" applyAlignment="0" applyProtection="0"/>
    <xf numFmtId="172" fontId="13" fillId="0" borderId="0" applyFill="0" applyBorder="0" applyAlignment="0" applyProtection="0"/>
    <xf numFmtId="179" fontId="13" fillId="0" borderId="0" applyFill="0" applyBorder="0" applyAlignment="0" applyProtection="0"/>
    <xf numFmtId="179" fontId="13" fillId="0" borderId="0" applyFill="0" applyBorder="0" applyAlignment="0" applyProtection="0"/>
    <xf numFmtId="179" fontId="13" fillId="0" borderId="0" applyFill="0" applyBorder="0" applyAlignment="0" applyProtection="0"/>
    <xf numFmtId="179" fontId="13" fillId="0" borderId="0" applyFill="0" applyBorder="0" applyAlignment="0" applyProtection="0"/>
    <xf numFmtId="179" fontId="13" fillId="0" borderId="0" applyFill="0" applyBorder="0" applyAlignment="0" applyProtection="0"/>
    <xf numFmtId="179" fontId="13" fillId="0" borderId="0" applyFill="0" applyBorder="0" applyAlignment="0" applyProtection="0"/>
    <xf numFmtId="179" fontId="13" fillId="0" borderId="0" applyFill="0" applyBorder="0" applyAlignment="0" applyProtection="0"/>
    <xf numFmtId="179" fontId="13" fillId="0" borderId="0" applyFill="0" applyBorder="0" applyAlignment="0" applyProtection="0"/>
    <xf numFmtId="179" fontId="13" fillId="0" borderId="0" applyFill="0" applyBorder="0" applyAlignment="0" applyProtection="0"/>
    <xf numFmtId="179" fontId="13" fillId="0" borderId="0" applyFill="0" applyBorder="0" applyAlignment="0" applyProtection="0"/>
    <xf numFmtId="179" fontId="13" fillId="0" borderId="0" applyFill="0" applyBorder="0" applyAlignment="0" applyProtection="0"/>
    <xf numFmtId="179" fontId="13" fillId="0" borderId="0" applyFill="0" applyBorder="0" applyAlignment="0" applyProtection="0"/>
    <xf numFmtId="0" fontId="13" fillId="0" borderId="0" applyFill="0" applyBorder="0" applyAlignment="0" applyProtection="0"/>
    <xf numFmtId="0" fontId="13" fillId="16" borderId="0"/>
    <xf numFmtId="0" fontId="15" fillId="16" borderId="0"/>
    <xf numFmtId="0" fontId="16" fillId="16" borderId="0"/>
    <xf numFmtId="0" fontId="17" fillId="16" borderId="0"/>
    <xf numFmtId="0" fontId="18" fillId="16" borderId="0"/>
    <xf numFmtId="0" fontId="19" fillId="16" borderId="0"/>
    <xf numFmtId="0" fontId="20" fillId="16" borderId="0"/>
    <xf numFmtId="179" fontId="13" fillId="0" borderId="0" applyFill="0" applyBorder="0" applyAlignment="0" applyProtection="0"/>
    <xf numFmtId="173" fontId="13" fillId="0" borderId="0" applyFill="0" applyBorder="0" applyAlignment="0" applyProtection="0"/>
    <xf numFmtId="173" fontId="13" fillId="0" borderId="0" applyFill="0" applyBorder="0" applyAlignment="0" applyProtection="0"/>
    <xf numFmtId="0" fontId="13" fillId="0" borderId="0" applyFill="0" applyBorder="0" applyAlignment="0" applyProtection="0"/>
    <xf numFmtId="0" fontId="13" fillId="0" borderId="0" applyFill="0" applyBorder="0" applyAlignment="0" applyProtection="0"/>
    <xf numFmtId="176" fontId="13" fillId="0" borderId="0" applyFill="0" applyBorder="0" applyAlignment="0" applyProtection="0"/>
    <xf numFmtId="176" fontId="13" fillId="0" borderId="0" applyFill="0" applyBorder="0" applyAlignment="0" applyProtection="0"/>
    <xf numFmtId="175" fontId="13" fillId="0" borderId="0" applyFill="0" applyBorder="0" applyAlignment="0" applyProtection="0"/>
    <xf numFmtId="175" fontId="13" fillId="0" borderId="0" applyFill="0" applyBorder="0" applyAlignment="0" applyProtection="0"/>
    <xf numFmtId="38" fontId="13" fillId="0" borderId="0" applyFill="0" applyBorder="0" applyAlignment="0" applyProtection="0"/>
    <xf numFmtId="38" fontId="13" fillId="0" borderId="0" applyFill="0" applyBorder="0" applyAlignment="0" applyProtection="0"/>
    <xf numFmtId="177" fontId="13" fillId="0" borderId="0" applyFill="0" applyBorder="0" applyAlignment="0" applyProtection="0"/>
    <xf numFmtId="177" fontId="13" fillId="0" borderId="0" applyFill="0" applyBorder="0" applyAlignment="0" applyProtection="0"/>
    <xf numFmtId="168" fontId="13" fillId="0" borderId="0" applyFill="0" applyBorder="0" applyAlignment="0" applyProtection="0"/>
    <xf numFmtId="168" fontId="13" fillId="0" borderId="0" applyFill="0" applyBorder="0" applyAlignment="0" applyProtection="0"/>
    <xf numFmtId="178" fontId="13" fillId="0" borderId="0" applyFill="0" applyBorder="0" applyAlignment="0" applyProtection="0"/>
    <xf numFmtId="178" fontId="13" fillId="0" borderId="0" applyFill="0" applyBorder="0" applyAlignment="0" applyProtection="0"/>
    <xf numFmtId="170" fontId="13" fillId="0" borderId="0" applyFill="0" applyBorder="0" applyAlignment="0" applyProtection="0"/>
    <xf numFmtId="170" fontId="13" fillId="0" borderId="0" applyFill="0" applyBorder="0" applyAlignment="0" applyProtection="0"/>
    <xf numFmtId="171" fontId="13" fillId="0" borderId="0" applyFill="0" applyBorder="0" applyAlignment="0" applyProtection="0"/>
    <xf numFmtId="171" fontId="13" fillId="0" borderId="0" applyFill="0" applyBorder="0" applyAlignment="0" applyProtection="0"/>
    <xf numFmtId="180" fontId="13" fillId="0" borderId="0" applyFill="0" applyBorder="0" applyAlignment="0" applyProtection="0"/>
    <xf numFmtId="180" fontId="13" fillId="0" borderId="0" applyFill="0" applyBorder="0" applyAlignment="0" applyProtection="0"/>
    <xf numFmtId="167" fontId="13" fillId="0" borderId="0" applyFill="0" applyBorder="0" applyAlignment="0" applyProtection="0"/>
    <xf numFmtId="167" fontId="13" fillId="0" borderId="0" applyFill="0" applyBorder="0" applyAlignment="0" applyProtection="0"/>
    <xf numFmtId="174" fontId="13" fillId="0" borderId="0" applyFill="0" applyBorder="0" applyAlignment="0" applyProtection="0"/>
    <xf numFmtId="174" fontId="13" fillId="0" borderId="0" applyFill="0" applyBorder="0" applyAlignment="0" applyProtection="0"/>
    <xf numFmtId="172" fontId="13" fillId="0" borderId="0" applyFill="0" applyBorder="0" applyAlignment="0" applyProtection="0"/>
    <xf numFmtId="172" fontId="13" fillId="0" borderId="0" applyFill="0" applyBorder="0" applyAlignment="0" applyProtection="0"/>
    <xf numFmtId="179" fontId="13" fillId="0" borderId="0" applyFill="0" applyBorder="0" applyAlignment="0" applyProtection="0"/>
    <xf numFmtId="181" fontId="13" fillId="17" borderId="12"/>
    <xf numFmtId="178" fontId="13" fillId="0" borderId="0" applyFill="0" applyBorder="0" applyAlignment="0" applyProtection="0"/>
    <xf numFmtId="178" fontId="13" fillId="0" borderId="0" applyFill="0" applyBorder="0" applyAlignment="0" applyProtection="0"/>
    <xf numFmtId="178" fontId="13" fillId="0" borderId="0" applyFill="0" applyBorder="0" applyAlignment="0" applyProtection="0"/>
    <xf numFmtId="178" fontId="13" fillId="0" borderId="0" applyFill="0" applyBorder="0" applyAlignment="0" applyProtection="0"/>
    <xf numFmtId="0" fontId="16" fillId="17" borderId="0"/>
    <xf numFmtId="169" fontId="13" fillId="0" borderId="0" applyFill="0" applyBorder="0" applyAlignment="0" applyProtection="0"/>
    <xf numFmtId="169" fontId="13" fillId="0" borderId="0" applyFill="0" applyBorder="0" applyAlignment="0" applyProtection="0"/>
    <xf numFmtId="0" fontId="13" fillId="0" borderId="0" applyFill="0" applyBorder="0" applyAlignment="0" applyProtection="0"/>
    <xf numFmtId="0" fontId="13" fillId="0" borderId="0" applyFill="0" applyBorder="0" applyAlignment="0" applyProtection="0"/>
    <xf numFmtId="173" fontId="13" fillId="0" borderId="0" applyFill="0" applyBorder="0" applyAlignment="0" applyProtection="0"/>
    <xf numFmtId="173" fontId="13" fillId="0" borderId="0" applyFill="0" applyBorder="0" applyAlignment="0" applyProtection="0"/>
    <xf numFmtId="176" fontId="13" fillId="0" borderId="0" applyFill="0" applyBorder="0" applyAlignment="0" applyProtection="0"/>
    <xf numFmtId="176" fontId="13" fillId="0" borderId="0" applyFill="0" applyBorder="0" applyAlignment="0" applyProtection="0"/>
    <xf numFmtId="175" fontId="13" fillId="0" borderId="0" applyFill="0" applyBorder="0" applyAlignment="0" applyProtection="0"/>
    <xf numFmtId="175" fontId="13" fillId="0" borderId="0" applyFill="0" applyBorder="0" applyAlignment="0" applyProtection="0"/>
    <xf numFmtId="38" fontId="13" fillId="0" borderId="0" applyFill="0" applyBorder="0" applyAlignment="0" applyProtection="0"/>
    <xf numFmtId="38" fontId="13" fillId="0" borderId="0" applyFill="0" applyBorder="0" applyAlignment="0" applyProtection="0"/>
    <xf numFmtId="0" fontId="13" fillId="0" borderId="0" applyFill="0" applyBorder="0" applyAlignment="0" applyProtection="0"/>
    <xf numFmtId="0" fontId="13" fillId="0" borderId="0" applyFill="0" applyBorder="0" applyAlignment="0" applyProtection="0"/>
    <xf numFmtId="168" fontId="13" fillId="0" borderId="0" applyFill="0" applyBorder="0" applyAlignment="0" applyProtection="0"/>
    <xf numFmtId="168" fontId="13" fillId="0" borderId="0" applyFill="0" applyBorder="0" applyAlignment="0" applyProtection="0"/>
    <xf numFmtId="178" fontId="13" fillId="0" borderId="0" applyFill="0" applyBorder="0" applyAlignment="0" applyProtection="0"/>
    <xf numFmtId="178" fontId="13" fillId="0" borderId="0" applyFill="0" applyBorder="0" applyAlignment="0" applyProtection="0"/>
    <xf numFmtId="170" fontId="13" fillId="0" borderId="0" applyFill="0" applyBorder="0" applyAlignment="0" applyProtection="0"/>
    <xf numFmtId="170" fontId="13" fillId="0" borderId="0" applyFill="0" applyBorder="0" applyAlignment="0" applyProtection="0"/>
    <xf numFmtId="171" fontId="13" fillId="0" borderId="0" applyFill="0" applyBorder="0" applyAlignment="0" applyProtection="0"/>
    <xf numFmtId="171" fontId="13" fillId="0" borderId="0" applyFill="0" applyBorder="0" applyAlignment="0" applyProtection="0"/>
    <xf numFmtId="0" fontId="13" fillId="0" borderId="0" applyFill="0" applyBorder="0" applyAlignment="0" applyProtection="0"/>
    <xf numFmtId="0" fontId="13" fillId="0" borderId="0" applyFill="0" applyBorder="0" applyAlignment="0" applyProtection="0"/>
    <xf numFmtId="169" fontId="13" fillId="0" borderId="0" applyFill="0" applyBorder="0" applyAlignment="0" applyProtection="0"/>
    <xf numFmtId="169" fontId="13" fillId="0" borderId="0" applyFill="0" applyBorder="0" applyAlignment="0" applyProtection="0"/>
    <xf numFmtId="0" fontId="13" fillId="0" borderId="0" applyFill="0" applyBorder="0" applyAlignment="0" applyProtection="0"/>
    <xf numFmtId="173" fontId="13" fillId="0" borderId="0" applyFill="0" applyBorder="0" applyAlignment="0" applyProtection="0"/>
    <xf numFmtId="173" fontId="13" fillId="0" borderId="0" applyFill="0" applyBorder="0" applyAlignment="0" applyProtection="0"/>
    <xf numFmtId="0" fontId="13" fillId="0" borderId="0" applyFill="0" applyBorder="0" applyAlignment="0" applyProtection="0"/>
    <xf numFmtId="0" fontId="13" fillId="0" borderId="0" applyFill="0" applyBorder="0" applyAlignment="0" applyProtection="0"/>
    <xf numFmtId="176" fontId="13" fillId="0" borderId="0" applyFill="0" applyBorder="0" applyAlignment="0" applyProtection="0"/>
    <xf numFmtId="176" fontId="13" fillId="0" borderId="0" applyFill="0" applyBorder="0" applyAlignment="0" applyProtection="0"/>
    <xf numFmtId="175" fontId="13" fillId="0" borderId="0" applyFill="0" applyBorder="0" applyAlignment="0" applyProtection="0"/>
    <xf numFmtId="175" fontId="13" fillId="0" borderId="0" applyFill="0" applyBorder="0" applyAlignment="0" applyProtection="0"/>
    <xf numFmtId="38" fontId="13" fillId="0" borderId="0" applyFill="0" applyBorder="0" applyAlignment="0" applyProtection="0"/>
    <xf numFmtId="38" fontId="13" fillId="0" borderId="0" applyFill="0" applyBorder="0" applyAlignment="0" applyProtection="0"/>
    <xf numFmtId="177" fontId="13" fillId="0" borderId="0" applyFill="0" applyBorder="0" applyAlignment="0" applyProtection="0"/>
    <xf numFmtId="177" fontId="13" fillId="0" borderId="0" applyFill="0" applyBorder="0" applyAlignment="0" applyProtection="0"/>
    <xf numFmtId="168" fontId="13" fillId="0" borderId="0" applyFill="0" applyBorder="0" applyAlignment="0" applyProtection="0"/>
    <xf numFmtId="168" fontId="13" fillId="0" borderId="0" applyFill="0" applyBorder="0" applyAlignment="0" applyProtection="0"/>
    <xf numFmtId="178" fontId="13" fillId="0" borderId="0" applyFill="0" applyBorder="0" applyAlignment="0" applyProtection="0"/>
    <xf numFmtId="178" fontId="13" fillId="0" borderId="0" applyFill="0" applyBorder="0" applyAlignment="0" applyProtection="0"/>
    <xf numFmtId="170" fontId="13" fillId="0" borderId="0" applyFill="0" applyBorder="0" applyAlignment="0" applyProtection="0"/>
    <xf numFmtId="170" fontId="13" fillId="0" borderId="0" applyFill="0" applyBorder="0" applyAlignment="0" applyProtection="0"/>
    <xf numFmtId="171" fontId="13" fillId="0" borderId="0" applyFill="0" applyBorder="0" applyAlignment="0" applyProtection="0"/>
    <xf numFmtId="171" fontId="13" fillId="0" borderId="0" applyFill="0" applyBorder="0" applyAlignment="0" applyProtection="0"/>
    <xf numFmtId="179" fontId="13" fillId="0" borderId="0" applyFill="0" applyBorder="0" applyAlignment="0" applyProtection="0"/>
    <xf numFmtId="179" fontId="13" fillId="0" borderId="0" applyFill="0" applyBorder="0" applyAlignment="0" applyProtection="0"/>
    <xf numFmtId="0" fontId="13" fillId="0" borderId="0" applyFill="0" applyBorder="0" applyAlignment="0" applyProtection="0"/>
    <xf numFmtId="180" fontId="13" fillId="0" borderId="0" applyFill="0" applyBorder="0" applyAlignment="0" applyProtection="0"/>
    <xf numFmtId="180" fontId="13" fillId="0" borderId="0" applyFill="0" applyBorder="0" applyAlignment="0" applyProtection="0"/>
    <xf numFmtId="180" fontId="13" fillId="0" borderId="0" applyFill="0" applyBorder="0" applyAlignment="0" applyProtection="0"/>
    <xf numFmtId="180" fontId="13" fillId="0" borderId="0" applyFill="0" applyBorder="0" applyAlignment="0" applyProtection="0"/>
    <xf numFmtId="180" fontId="13" fillId="0" borderId="0" applyFill="0" applyBorder="0" applyAlignment="0" applyProtection="0"/>
    <xf numFmtId="180" fontId="13" fillId="0" borderId="0" applyFill="0" applyBorder="0" applyAlignment="0" applyProtection="0"/>
    <xf numFmtId="180" fontId="13" fillId="0" borderId="0" applyFill="0" applyBorder="0" applyAlignment="0" applyProtection="0"/>
    <xf numFmtId="180" fontId="13" fillId="0" borderId="0" applyFill="0" applyBorder="0" applyAlignment="0" applyProtection="0"/>
    <xf numFmtId="180" fontId="13" fillId="0" borderId="0" applyFill="0" applyBorder="0" applyAlignment="0" applyProtection="0"/>
    <xf numFmtId="180" fontId="13" fillId="0" borderId="0" applyFill="0" applyBorder="0" applyAlignment="0" applyProtection="0"/>
    <xf numFmtId="180" fontId="13" fillId="0" borderId="0" applyFill="0" applyBorder="0" applyAlignment="0" applyProtection="0"/>
    <xf numFmtId="180" fontId="13" fillId="0" borderId="0" applyFill="0" applyBorder="0" applyAlignment="0" applyProtection="0"/>
    <xf numFmtId="180" fontId="13" fillId="0" borderId="0" applyFill="0" applyBorder="0" applyAlignment="0" applyProtection="0"/>
    <xf numFmtId="180" fontId="13" fillId="0" borderId="0" applyFill="0" applyBorder="0" applyAlignment="0" applyProtection="0"/>
    <xf numFmtId="180" fontId="13" fillId="0" borderId="0" applyFill="0" applyBorder="0" applyAlignment="0" applyProtection="0"/>
    <xf numFmtId="180" fontId="13" fillId="0" borderId="0" applyFill="0" applyBorder="0" applyAlignment="0" applyProtection="0"/>
    <xf numFmtId="180" fontId="13" fillId="0" borderId="0" applyFill="0" applyBorder="0" applyAlignment="0" applyProtection="0"/>
    <xf numFmtId="180" fontId="13" fillId="0" borderId="0" applyFill="0" applyBorder="0" applyAlignment="0" applyProtection="0"/>
    <xf numFmtId="180" fontId="13" fillId="0" borderId="0" applyFill="0" applyBorder="0" applyAlignment="0" applyProtection="0"/>
    <xf numFmtId="180" fontId="13" fillId="0" borderId="0" applyFill="0" applyBorder="0" applyAlignment="0" applyProtection="0"/>
    <xf numFmtId="0" fontId="13" fillId="0" borderId="0" applyFill="0" applyBorder="0" applyAlignment="0" applyProtection="0"/>
    <xf numFmtId="179" fontId="13" fillId="0" borderId="0" applyFill="0" applyBorder="0" applyAlignment="0" applyProtection="0"/>
    <xf numFmtId="179" fontId="13" fillId="0" borderId="0" applyFill="0" applyBorder="0" applyAlignment="0" applyProtection="0"/>
    <xf numFmtId="179" fontId="13" fillId="0" borderId="0" applyFill="0" applyBorder="0" applyAlignment="0" applyProtection="0"/>
    <xf numFmtId="179" fontId="13" fillId="0" borderId="0" applyFill="0" applyBorder="0" applyAlignment="0" applyProtection="0"/>
    <xf numFmtId="179" fontId="13" fillId="0" borderId="0" applyFill="0" applyBorder="0" applyAlignment="0" applyProtection="0"/>
    <xf numFmtId="179" fontId="13" fillId="0" borderId="0" applyFill="0" applyBorder="0" applyAlignment="0" applyProtection="0"/>
    <xf numFmtId="167" fontId="13" fillId="0" borderId="0" applyFill="0" applyBorder="0" applyAlignment="0" applyProtection="0"/>
    <xf numFmtId="167" fontId="13" fillId="0" borderId="0" applyFill="0" applyBorder="0" applyAlignment="0" applyProtection="0"/>
    <xf numFmtId="174" fontId="13" fillId="0" borderId="0" applyFill="0" applyBorder="0" applyAlignment="0" applyProtection="0"/>
    <xf numFmtId="174" fontId="13" fillId="0" borderId="0" applyFill="0" applyBorder="0" applyAlignment="0" applyProtection="0"/>
    <xf numFmtId="172" fontId="13" fillId="0" borderId="0" applyFill="0" applyBorder="0" applyAlignment="0" applyProtection="0"/>
    <xf numFmtId="172" fontId="13" fillId="0" borderId="0" applyFill="0" applyBorder="0" applyAlignment="0" applyProtection="0"/>
    <xf numFmtId="179" fontId="13" fillId="0" borderId="0" applyFill="0" applyBorder="0" applyAlignment="0" applyProtection="0"/>
    <xf numFmtId="179" fontId="13" fillId="0" borderId="0" applyFill="0" applyBorder="0" applyAlignment="0" applyProtection="0"/>
    <xf numFmtId="179" fontId="13" fillId="0" borderId="0" applyFill="0" applyBorder="0" applyAlignment="0" applyProtection="0"/>
    <xf numFmtId="179" fontId="13" fillId="0" borderId="0" applyFill="0" applyBorder="0" applyAlignment="0" applyProtection="0"/>
    <xf numFmtId="179" fontId="13" fillId="0" borderId="0" applyFill="0" applyBorder="0" applyAlignment="0" applyProtection="0"/>
    <xf numFmtId="179" fontId="13" fillId="0" borderId="0" applyFill="0" applyBorder="0" applyAlignment="0" applyProtection="0"/>
    <xf numFmtId="179" fontId="13" fillId="0" borderId="0" applyFill="0" applyBorder="0" applyAlignment="0" applyProtection="0"/>
    <xf numFmtId="179" fontId="13" fillId="0" borderId="0" applyFill="0" applyBorder="0" applyAlignment="0" applyProtection="0"/>
    <xf numFmtId="179" fontId="13" fillId="0" borderId="0" applyFill="0" applyBorder="0" applyAlignment="0" applyProtection="0"/>
    <xf numFmtId="179" fontId="13" fillId="0" borderId="0" applyFill="0" applyBorder="0" applyAlignment="0" applyProtection="0"/>
    <xf numFmtId="179" fontId="13" fillId="0" borderId="0" applyFill="0" applyBorder="0" applyAlignment="0" applyProtection="0"/>
    <xf numFmtId="179" fontId="13" fillId="0" borderId="0" applyFill="0" applyBorder="0" applyAlignment="0" applyProtection="0"/>
    <xf numFmtId="0" fontId="13" fillId="0" borderId="0" applyFill="0" applyBorder="0" applyAlignment="0" applyProtection="0"/>
    <xf numFmtId="0" fontId="13" fillId="16" borderId="0"/>
    <xf numFmtId="0" fontId="15" fillId="16" borderId="0"/>
    <xf numFmtId="0" fontId="16" fillId="16" borderId="0"/>
    <xf numFmtId="0" fontId="13" fillId="16" borderId="0"/>
    <xf numFmtId="0" fontId="18" fillId="16" borderId="0"/>
    <xf numFmtId="0" fontId="19" fillId="16" borderId="0"/>
    <xf numFmtId="0" fontId="20" fillId="16" borderId="0"/>
    <xf numFmtId="0" fontId="13" fillId="0" borderId="0" applyFill="0" applyBorder="0" applyAlignment="0" applyProtection="0"/>
    <xf numFmtId="178" fontId="13" fillId="0" borderId="0" applyFill="0" applyBorder="0" applyAlignment="0" applyProtection="0"/>
    <xf numFmtId="178" fontId="13" fillId="0" borderId="0" applyFill="0" applyBorder="0" applyAlignment="0" applyProtection="0"/>
    <xf numFmtId="176" fontId="13" fillId="0" borderId="0" applyFill="0" applyBorder="0" applyAlignment="0" applyProtection="0"/>
    <xf numFmtId="176" fontId="13" fillId="0" borderId="0" applyFill="0" applyBorder="0" applyAlignment="0" applyProtection="0"/>
    <xf numFmtId="167" fontId="13" fillId="0" borderId="0" applyFill="0" applyBorder="0" applyAlignment="0" applyProtection="0"/>
    <xf numFmtId="167" fontId="13" fillId="0" borderId="0" applyFill="0" applyBorder="0" applyAlignment="0" applyProtection="0"/>
    <xf numFmtId="175" fontId="13" fillId="0" borderId="0" applyFill="0" applyBorder="0" applyAlignment="0" applyProtection="0"/>
    <xf numFmtId="175" fontId="13" fillId="0" borderId="0" applyFill="0" applyBorder="0" applyAlignment="0" applyProtection="0"/>
    <xf numFmtId="168" fontId="13" fillId="0" borderId="0" applyFill="0" applyBorder="0" applyAlignment="0" applyProtection="0"/>
    <xf numFmtId="168" fontId="13" fillId="0" borderId="0" applyFill="0" applyBorder="0" applyAlignment="0" applyProtection="0"/>
    <xf numFmtId="0" fontId="13" fillId="0" borderId="0" applyFill="0" applyBorder="0" applyAlignment="0" applyProtection="0"/>
    <xf numFmtId="38" fontId="13" fillId="0" borderId="0" applyFill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9" fillId="18" borderId="0" applyNumberFormat="0" applyBorder="0" applyAlignment="0" applyProtection="0"/>
    <xf numFmtId="0" fontId="12" fillId="19" borderId="0" applyNumberFormat="0" applyBorder="0" applyAlignment="0" applyProtection="0"/>
    <xf numFmtId="0" fontId="9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12" fillId="20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12" fillId="20" borderId="0" applyNumberFormat="0" applyBorder="0" applyAlignment="0" applyProtection="0"/>
    <xf numFmtId="0" fontId="9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9" fillId="22" borderId="0" applyNumberFormat="0" applyBorder="0" applyAlignment="0" applyProtection="0"/>
    <xf numFmtId="0" fontId="12" fillId="24" borderId="0" applyNumberFormat="0" applyBorder="0" applyAlignment="0" applyProtection="0"/>
    <xf numFmtId="0" fontId="9" fillId="22" borderId="0" applyNumberFormat="0" applyBorder="0" applyAlignment="0" applyProtection="0"/>
    <xf numFmtId="0" fontId="12" fillId="24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12" fillId="24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12" fillId="24" borderId="0" applyNumberFormat="0" applyBorder="0" applyAlignment="0" applyProtection="0"/>
    <xf numFmtId="0" fontId="9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15" borderId="0" applyNumberFormat="0" applyBorder="0" applyAlignment="0" applyProtection="0"/>
    <xf numFmtId="0" fontId="9" fillId="26" borderId="0" applyNumberFormat="0" applyBorder="0" applyAlignment="0" applyProtection="0"/>
    <xf numFmtId="0" fontId="12" fillId="28" borderId="0" applyNumberFormat="0" applyBorder="0" applyAlignment="0" applyProtection="0"/>
    <xf numFmtId="0" fontId="9" fillId="26" borderId="0" applyNumberFormat="0" applyBorder="0" applyAlignment="0" applyProtection="0"/>
    <xf numFmtId="0" fontId="12" fillId="28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12" fillId="28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12" fillId="28" borderId="0" applyNumberFormat="0" applyBorder="0" applyAlignment="0" applyProtection="0"/>
    <xf numFmtId="0" fontId="9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2" fillId="20" borderId="0" applyNumberFormat="0" applyBorder="0" applyAlignment="0" applyProtection="0"/>
    <xf numFmtId="0" fontId="9" fillId="11" borderId="0" applyNumberFormat="0" applyBorder="0" applyAlignment="0" applyProtection="0"/>
    <xf numFmtId="0" fontId="12" fillId="33" borderId="0" applyNumberFormat="0" applyBorder="0" applyAlignment="0" applyProtection="0"/>
    <xf numFmtId="0" fontId="9" fillId="11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12" fillId="2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12" fillId="21" borderId="0" applyNumberFormat="0" applyBorder="0" applyAlignment="0" applyProtection="0"/>
    <xf numFmtId="0" fontId="9" fillId="11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2" fillId="34" borderId="0" applyNumberFormat="0" applyBorder="0" applyAlignment="0" applyProtection="0"/>
    <xf numFmtId="0" fontId="12" fillId="35" borderId="0" applyNumberFormat="0" applyBorder="0" applyAlignment="0" applyProtection="0"/>
    <xf numFmtId="0" fontId="12" fillId="25" borderId="0" applyNumberFormat="0" applyBorder="0" applyAlignment="0" applyProtection="0"/>
    <xf numFmtId="0" fontId="12" fillId="34" borderId="0" applyNumberFormat="0" applyBorder="0" applyAlignment="0" applyProtection="0"/>
    <xf numFmtId="0" fontId="12" fillId="35" borderId="0" applyNumberFormat="0" applyBorder="0" applyAlignment="0" applyProtection="0"/>
    <xf numFmtId="0" fontId="12" fillId="25" borderId="0" applyNumberFormat="0" applyBorder="0" applyAlignment="0" applyProtection="0"/>
    <xf numFmtId="0" fontId="12" fillId="34" borderId="0" applyNumberFormat="0" applyBorder="0" applyAlignment="0" applyProtection="0"/>
    <xf numFmtId="0" fontId="12" fillId="35" borderId="0" applyNumberFormat="0" applyBorder="0" applyAlignment="0" applyProtection="0"/>
    <xf numFmtId="0" fontId="12" fillId="25" borderId="0" applyNumberFormat="0" applyBorder="0" applyAlignment="0" applyProtection="0"/>
    <xf numFmtId="0" fontId="12" fillId="34" borderId="0" applyNumberFormat="0" applyBorder="0" applyAlignment="0" applyProtection="0"/>
    <xf numFmtId="0" fontId="12" fillId="35" borderId="0" applyNumberFormat="0" applyBorder="0" applyAlignment="0" applyProtection="0"/>
    <xf numFmtId="0" fontId="12" fillId="25" borderId="0" applyNumberFormat="0" applyBorder="0" applyAlignment="0" applyProtection="0"/>
    <xf numFmtId="0" fontId="12" fillId="36" borderId="0" applyNumberFormat="0" applyBorder="0" applyAlignment="0" applyProtection="0"/>
    <xf numFmtId="0" fontId="9" fillId="13" borderId="0" applyNumberFormat="0" applyBorder="0" applyAlignment="0" applyProtection="0"/>
    <xf numFmtId="0" fontId="12" fillId="35" borderId="0" applyNumberFormat="0" applyBorder="0" applyAlignment="0" applyProtection="0"/>
    <xf numFmtId="0" fontId="12" fillId="25" borderId="0" applyNumberFormat="0" applyBorder="0" applyAlignment="0" applyProtection="0"/>
    <xf numFmtId="0" fontId="9" fillId="13" borderId="0" applyNumberFormat="0" applyBorder="0" applyAlignment="0" applyProtection="0"/>
    <xf numFmtId="0" fontId="12" fillId="35" borderId="0" applyNumberFormat="0" applyBorder="0" applyAlignment="0" applyProtection="0"/>
    <xf numFmtId="0" fontId="12" fillId="25" borderId="0" applyNumberFormat="0" applyBorder="0" applyAlignment="0" applyProtection="0"/>
    <xf numFmtId="0" fontId="12" fillId="37" borderId="0" applyNumberFormat="0" applyBorder="0" applyAlignment="0" applyProtection="0"/>
    <xf numFmtId="0" fontId="12" fillId="35" borderId="0" applyNumberFormat="0" applyBorder="0" applyAlignment="0" applyProtection="0"/>
    <xf numFmtId="0" fontId="12" fillId="25" borderId="0" applyNumberFormat="0" applyBorder="0" applyAlignment="0" applyProtection="0"/>
    <xf numFmtId="0" fontId="12" fillId="37" borderId="0" applyNumberFormat="0" applyBorder="0" applyAlignment="0" applyProtection="0"/>
    <xf numFmtId="0" fontId="12" fillId="35" borderId="0" applyNumberFormat="0" applyBorder="0" applyAlignment="0" applyProtection="0"/>
    <xf numFmtId="0" fontId="12" fillId="25" borderId="0" applyNumberFormat="0" applyBorder="0" applyAlignment="0" applyProtection="0"/>
    <xf numFmtId="0" fontId="12" fillId="37" borderId="0" applyNumberFormat="0" applyBorder="0" applyAlignment="0" applyProtection="0"/>
    <xf numFmtId="0" fontId="12" fillId="35" borderId="0" applyNumberFormat="0" applyBorder="0" applyAlignment="0" applyProtection="0"/>
    <xf numFmtId="0" fontId="12" fillId="25" borderId="0" applyNumberFormat="0" applyBorder="0" applyAlignment="0" applyProtection="0"/>
    <xf numFmtId="0" fontId="12" fillId="37" borderId="0" applyNumberFormat="0" applyBorder="0" applyAlignment="0" applyProtection="0"/>
    <xf numFmtId="0" fontId="12" fillId="35" borderId="0" applyNumberFormat="0" applyBorder="0" applyAlignment="0" applyProtection="0"/>
    <xf numFmtId="0" fontId="12" fillId="25" borderId="0" applyNumberFormat="0" applyBorder="0" applyAlignment="0" applyProtection="0"/>
    <xf numFmtId="0" fontId="12" fillId="37" borderId="0" applyNumberFormat="0" applyBorder="0" applyAlignment="0" applyProtection="0"/>
    <xf numFmtId="0" fontId="12" fillId="35" borderId="0" applyNumberFormat="0" applyBorder="0" applyAlignment="0" applyProtection="0"/>
    <xf numFmtId="0" fontId="12" fillId="25" borderId="0" applyNumberFormat="0" applyBorder="0" applyAlignment="0" applyProtection="0"/>
    <xf numFmtId="0" fontId="12" fillId="37" borderId="0" applyNumberFormat="0" applyBorder="0" applyAlignment="0" applyProtection="0"/>
    <xf numFmtId="0" fontId="12" fillId="35" borderId="0" applyNumberFormat="0" applyBorder="0" applyAlignment="0" applyProtection="0"/>
    <xf numFmtId="0" fontId="12" fillId="25" borderId="0" applyNumberFormat="0" applyBorder="0" applyAlignment="0" applyProtection="0"/>
    <xf numFmtId="0" fontId="12" fillId="37" borderId="0" applyNumberFormat="0" applyBorder="0" applyAlignment="0" applyProtection="0"/>
    <xf numFmtId="0" fontId="12" fillId="3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12" fillId="25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12" fillId="25" borderId="0" applyNumberFormat="0" applyBorder="0" applyAlignment="0" applyProtection="0"/>
    <xf numFmtId="0" fontId="9" fillId="13" borderId="0" applyNumberFormat="0" applyBorder="0" applyAlignment="0" applyProtection="0"/>
    <xf numFmtId="0" fontId="12" fillId="35" borderId="0" applyNumberFormat="0" applyBorder="0" applyAlignment="0" applyProtection="0"/>
    <xf numFmtId="0" fontId="12" fillId="25" borderId="0" applyNumberFormat="0" applyBorder="0" applyAlignment="0" applyProtection="0"/>
    <xf numFmtId="0" fontId="12" fillId="34" borderId="0" applyNumberFormat="0" applyBorder="0" applyAlignment="0" applyProtection="0"/>
    <xf numFmtId="0" fontId="12" fillId="35" borderId="0" applyNumberFormat="0" applyBorder="0" applyAlignment="0" applyProtection="0"/>
    <xf numFmtId="0" fontId="12" fillId="25" borderId="0" applyNumberFormat="0" applyBorder="0" applyAlignment="0" applyProtection="0"/>
    <xf numFmtId="0" fontId="12" fillId="34" borderId="0" applyNumberFormat="0" applyBorder="0" applyAlignment="0" applyProtection="0"/>
    <xf numFmtId="0" fontId="12" fillId="35" borderId="0" applyNumberFormat="0" applyBorder="0" applyAlignment="0" applyProtection="0"/>
    <xf numFmtId="0" fontId="12" fillId="25" borderId="0" applyNumberFormat="0" applyBorder="0" applyAlignment="0" applyProtection="0"/>
    <xf numFmtId="0" fontId="12" fillId="34" borderId="0" applyNumberFormat="0" applyBorder="0" applyAlignment="0" applyProtection="0"/>
    <xf numFmtId="0" fontId="12" fillId="35" borderId="0" applyNumberFormat="0" applyBorder="0" applyAlignment="0" applyProtection="0"/>
    <xf numFmtId="0" fontId="12" fillId="25" borderId="0" applyNumberFormat="0" applyBorder="0" applyAlignment="0" applyProtection="0"/>
    <xf numFmtId="0" fontId="12" fillId="34" borderId="0" applyNumberFormat="0" applyBorder="0" applyAlignment="0" applyProtection="0"/>
    <xf numFmtId="0" fontId="12" fillId="35" borderId="0" applyNumberFormat="0" applyBorder="0" applyAlignment="0" applyProtection="0"/>
    <xf numFmtId="0" fontId="12" fillId="25" borderId="0" applyNumberFormat="0" applyBorder="0" applyAlignment="0" applyProtection="0"/>
    <xf numFmtId="0" fontId="12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2" fillId="39" borderId="0" applyNumberFormat="0" applyBorder="0" applyAlignment="0" applyProtection="0"/>
    <xf numFmtId="0" fontId="12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2" fillId="25" borderId="0" applyNumberFormat="0" applyBorder="0" applyAlignment="0" applyProtection="0"/>
    <xf numFmtId="0" fontId="9" fillId="9" borderId="0" applyNumberFormat="0" applyBorder="0" applyAlignment="0" applyProtection="0"/>
    <xf numFmtId="0" fontId="12" fillId="42" borderId="0" applyNumberFormat="0" applyBorder="0" applyAlignment="0" applyProtection="0"/>
    <xf numFmtId="0" fontId="9" fillId="9" borderId="0" applyNumberFormat="0" applyBorder="0" applyAlignment="0" applyProtection="0"/>
    <xf numFmtId="0" fontId="12" fillId="42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2" fillId="42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2" fillId="42" borderId="0" applyNumberFormat="0" applyBorder="0" applyAlignment="0" applyProtection="0"/>
    <xf numFmtId="0" fontId="9" fillId="9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15" borderId="0" applyNumberFormat="0" applyBorder="0" applyAlignment="0" applyProtection="0"/>
    <xf numFmtId="0" fontId="9" fillId="43" borderId="0" applyNumberFormat="0" applyBorder="0" applyAlignment="0" applyProtection="0"/>
    <xf numFmtId="0" fontId="12" fillId="45" borderId="0" applyNumberFormat="0" applyBorder="0" applyAlignment="0" applyProtection="0"/>
    <xf numFmtId="0" fontId="9" fillId="43" borderId="0" applyNumberFormat="0" applyBorder="0" applyAlignment="0" applyProtection="0"/>
    <xf numFmtId="0" fontId="12" fillId="45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12" fillId="45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12" fillId="45" borderId="0" applyNumberFormat="0" applyBorder="0" applyAlignment="0" applyProtection="0"/>
    <xf numFmtId="0" fontId="9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25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12" fillId="30" borderId="0" applyNumberFormat="0" applyBorder="0" applyAlignment="0" applyProtection="0"/>
    <xf numFmtId="0" fontId="12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2" fillId="39" borderId="0" applyNumberFormat="0" applyBorder="0" applyAlignment="0" applyProtection="0"/>
    <xf numFmtId="0" fontId="12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36" borderId="0" applyNumberFormat="0" applyBorder="0" applyAlignment="0" applyProtection="0"/>
    <xf numFmtId="0" fontId="9" fillId="14" borderId="0" applyNumberFormat="0" applyBorder="0" applyAlignment="0" applyProtection="0"/>
    <xf numFmtId="0" fontId="12" fillId="48" borderId="0" applyNumberFormat="0" applyBorder="0" applyAlignment="0" applyProtection="0"/>
    <xf numFmtId="0" fontId="9" fillId="14" borderId="0" applyNumberFormat="0" applyBorder="0" applyAlignment="0" applyProtection="0"/>
    <xf numFmtId="0" fontId="12" fillId="48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12" fillId="48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12" fillId="48" borderId="0" applyNumberFormat="0" applyBorder="0" applyAlignment="0" applyProtection="0"/>
    <xf numFmtId="0" fontId="9" fillId="1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21" fillId="49" borderId="0" applyNumberFormat="0" applyBorder="0" applyAlignment="0" applyProtection="0"/>
    <xf numFmtId="0" fontId="21" fillId="50" borderId="0" applyNumberFormat="0" applyBorder="0" applyAlignment="0" applyProtection="0"/>
    <xf numFmtId="0" fontId="21" fillId="49" borderId="0" applyNumberFormat="0" applyBorder="0" applyAlignment="0" applyProtection="0"/>
    <xf numFmtId="0" fontId="21" fillId="50" borderId="0" applyNumberFormat="0" applyBorder="0" applyAlignment="0" applyProtection="0"/>
    <xf numFmtId="0" fontId="21" fillId="49" borderId="0" applyNumberFormat="0" applyBorder="0" applyAlignment="0" applyProtection="0"/>
    <xf numFmtId="0" fontId="21" fillId="50" borderId="0" applyNumberFormat="0" applyBorder="0" applyAlignment="0" applyProtection="0"/>
    <xf numFmtId="0" fontId="21" fillId="49" borderId="0" applyNumberFormat="0" applyBorder="0" applyAlignment="0" applyProtection="0"/>
    <xf numFmtId="0" fontId="21" fillId="50" borderId="0" applyNumberFormat="0" applyBorder="0" applyAlignment="0" applyProtection="0"/>
    <xf numFmtId="0" fontId="21" fillId="39" borderId="0" applyNumberFormat="0" applyBorder="0" applyAlignment="0" applyProtection="0"/>
    <xf numFmtId="0" fontId="21" fillId="49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49" borderId="0" applyNumberFormat="0" applyBorder="0" applyAlignment="0" applyProtection="0"/>
    <xf numFmtId="0" fontId="21" fillId="50" borderId="0" applyNumberFormat="0" applyBorder="0" applyAlignment="0" applyProtection="0"/>
    <xf numFmtId="0" fontId="21" fillId="49" borderId="0" applyNumberFormat="0" applyBorder="0" applyAlignment="0" applyProtection="0"/>
    <xf numFmtId="0" fontId="21" fillId="50" borderId="0" applyNumberFormat="0" applyBorder="0" applyAlignment="0" applyProtection="0"/>
    <xf numFmtId="0" fontId="21" fillId="49" borderId="0" applyNumberFormat="0" applyBorder="0" applyAlignment="0" applyProtection="0"/>
    <xf numFmtId="0" fontId="21" fillId="50" borderId="0" applyNumberFormat="0" applyBorder="0" applyAlignment="0" applyProtection="0"/>
    <xf numFmtId="0" fontId="21" fillId="49" borderId="0" applyNumberFormat="0" applyBorder="0" applyAlignment="0" applyProtection="0"/>
    <xf numFmtId="0" fontId="21" fillId="50" borderId="0" applyNumberFormat="0" applyBorder="0" applyAlignment="0" applyProtection="0"/>
    <xf numFmtId="0" fontId="21" fillId="49" borderId="0" applyNumberFormat="0" applyBorder="0" applyAlignment="0" applyProtection="0"/>
    <xf numFmtId="0" fontId="21" fillId="50" borderId="0" applyNumberFormat="0" applyBorder="0" applyAlignment="0" applyProtection="0"/>
    <xf numFmtId="0" fontId="21" fillId="49" borderId="0" applyNumberFormat="0" applyBorder="0" applyAlignment="0" applyProtection="0"/>
    <xf numFmtId="0" fontId="21" fillId="50" borderId="0" applyNumberFormat="0" applyBorder="0" applyAlignment="0" applyProtection="0"/>
    <xf numFmtId="0" fontId="21" fillId="49" borderId="0" applyNumberFormat="0" applyBorder="0" applyAlignment="0" applyProtection="0"/>
    <xf numFmtId="0" fontId="21" fillId="50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2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2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2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2" borderId="0" applyNumberFormat="0" applyBorder="0" applyAlignment="0" applyProtection="0"/>
    <xf numFmtId="0" fontId="21" fillId="25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2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2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2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2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2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2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2" borderId="0" applyNumberFormat="0" applyBorder="0" applyAlignment="0" applyProtection="0"/>
    <xf numFmtId="0" fontId="21" fillId="43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3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3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3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51" borderId="0" applyNumberFormat="0" applyBorder="0" applyAlignment="0" applyProtection="0"/>
    <xf numFmtId="0" fontId="21" fillId="43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3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3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3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3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3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3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3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52" borderId="0" applyNumberFormat="0" applyBorder="0" applyAlignment="0" applyProtection="0"/>
    <xf numFmtId="0" fontId="21" fillId="53" borderId="0" applyNumberFormat="0" applyBorder="0" applyAlignment="0" applyProtection="0"/>
    <xf numFmtId="0" fontId="21" fillId="52" borderId="0" applyNumberFormat="0" applyBorder="0" applyAlignment="0" applyProtection="0"/>
    <xf numFmtId="0" fontId="21" fillId="53" borderId="0" applyNumberFormat="0" applyBorder="0" applyAlignment="0" applyProtection="0"/>
    <xf numFmtId="0" fontId="21" fillId="52" borderId="0" applyNumberFormat="0" applyBorder="0" applyAlignment="0" applyProtection="0"/>
    <xf numFmtId="0" fontId="21" fillId="53" borderId="0" applyNumberFormat="0" applyBorder="0" applyAlignment="0" applyProtection="0"/>
    <xf numFmtId="0" fontId="21" fillId="52" borderId="0" applyNumberFormat="0" applyBorder="0" applyAlignment="0" applyProtection="0"/>
    <xf numFmtId="0" fontId="21" fillId="53" borderId="0" applyNumberFormat="0" applyBorder="0" applyAlignment="0" applyProtection="0"/>
    <xf numFmtId="0" fontId="21" fillId="54" borderId="0" applyNumberFormat="0" applyBorder="0" applyAlignment="0" applyProtection="0"/>
    <xf numFmtId="0" fontId="21" fillId="52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2" borderId="0" applyNumberFormat="0" applyBorder="0" applyAlignment="0" applyProtection="0"/>
    <xf numFmtId="0" fontId="21" fillId="53" borderId="0" applyNumberFormat="0" applyBorder="0" applyAlignment="0" applyProtection="0"/>
    <xf numFmtId="0" fontId="21" fillId="52" borderId="0" applyNumberFormat="0" applyBorder="0" applyAlignment="0" applyProtection="0"/>
    <xf numFmtId="0" fontId="21" fillId="53" borderId="0" applyNumberFormat="0" applyBorder="0" applyAlignment="0" applyProtection="0"/>
    <xf numFmtId="0" fontId="21" fillId="52" borderId="0" applyNumberFormat="0" applyBorder="0" applyAlignment="0" applyProtection="0"/>
    <xf numFmtId="0" fontId="21" fillId="53" borderId="0" applyNumberFormat="0" applyBorder="0" applyAlignment="0" applyProtection="0"/>
    <xf numFmtId="0" fontId="21" fillId="52" borderId="0" applyNumberFormat="0" applyBorder="0" applyAlignment="0" applyProtection="0"/>
    <xf numFmtId="0" fontId="21" fillId="53" borderId="0" applyNumberFormat="0" applyBorder="0" applyAlignment="0" applyProtection="0"/>
    <xf numFmtId="0" fontId="21" fillId="52" borderId="0" applyNumberFormat="0" applyBorder="0" applyAlignment="0" applyProtection="0"/>
    <xf numFmtId="0" fontId="21" fillId="53" borderId="0" applyNumberFormat="0" applyBorder="0" applyAlignment="0" applyProtection="0"/>
    <xf numFmtId="0" fontId="21" fillId="52" borderId="0" applyNumberFormat="0" applyBorder="0" applyAlignment="0" applyProtection="0"/>
    <xf numFmtId="0" fontId="21" fillId="53" borderId="0" applyNumberFormat="0" applyBorder="0" applyAlignment="0" applyProtection="0"/>
    <xf numFmtId="0" fontId="21" fillId="52" borderId="0" applyNumberFormat="0" applyBorder="0" applyAlignment="0" applyProtection="0"/>
    <xf numFmtId="0" fontId="21" fillId="53" borderId="0" applyNumberFormat="0" applyBorder="0" applyAlignment="0" applyProtection="0"/>
    <xf numFmtId="0" fontId="21" fillId="55" borderId="0" applyNumberFormat="0" applyBorder="0" applyAlignment="0" applyProtection="0"/>
    <xf numFmtId="0" fontId="21" fillId="56" borderId="0" applyNumberFormat="0" applyBorder="0" applyAlignment="0" applyProtection="0"/>
    <xf numFmtId="0" fontId="21" fillId="55" borderId="0" applyNumberFormat="0" applyBorder="0" applyAlignment="0" applyProtection="0"/>
    <xf numFmtId="0" fontId="21" fillId="56" borderId="0" applyNumberFormat="0" applyBorder="0" applyAlignment="0" applyProtection="0"/>
    <xf numFmtId="0" fontId="21" fillId="55" borderId="0" applyNumberFormat="0" applyBorder="0" applyAlignment="0" applyProtection="0"/>
    <xf numFmtId="0" fontId="21" fillId="56" borderId="0" applyNumberFormat="0" applyBorder="0" applyAlignment="0" applyProtection="0"/>
    <xf numFmtId="0" fontId="21" fillId="55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5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5" borderId="0" applyNumberFormat="0" applyBorder="0" applyAlignment="0" applyProtection="0"/>
    <xf numFmtId="0" fontId="21" fillId="56" borderId="0" applyNumberFormat="0" applyBorder="0" applyAlignment="0" applyProtection="0"/>
    <xf numFmtId="0" fontId="21" fillId="55" borderId="0" applyNumberFormat="0" applyBorder="0" applyAlignment="0" applyProtection="0"/>
    <xf numFmtId="0" fontId="21" fillId="56" borderId="0" applyNumberFormat="0" applyBorder="0" applyAlignment="0" applyProtection="0"/>
    <xf numFmtId="0" fontId="21" fillId="55" borderId="0" applyNumberFormat="0" applyBorder="0" applyAlignment="0" applyProtection="0"/>
    <xf numFmtId="0" fontId="21" fillId="56" borderId="0" applyNumberFormat="0" applyBorder="0" applyAlignment="0" applyProtection="0"/>
    <xf numFmtId="0" fontId="21" fillId="55" borderId="0" applyNumberFormat="0" applyBorder="0" applyAlignment="0" applyProtection="0"/>
    <xf numFmtId="0" fontId="21" fillId="56" borderId="0" applyNumberFormat="0" applyBorder="0" applyAlignment="0" applyProtection="0"/>
    <xf numFmtId="0" fontId="21" fillId="55" borderId="0" applyNumberFormat="0" applyBorder="0" applyAlignment="0" applyProtection="0"/>
    <xf numFmtId="0" fontId="21" fillId="56" borderId="0" applyNumberFormat="0" applyBorder="0" applyAlignment="0" applyProtection="0"/>
    <xf numFmtId="0" fontId="21" fillId="55" borderId="0" applyNumberFormat="0" applyBorder="0" applyAlignment="0" applyProtection="0"/>
    <xf numFmtId="0" fontId="21" fillId="56" borderId="0" applyNumberFormat="0" applyBorder="0" applyAlignment="0" applyProtection="0"/>
    <xf numFmtId="0" fontId="21" fillId="55" borderId="0" applyNumberFormat="0" applyBorder="0" applyAlignment="0" applyProtection="0"/>
    <xf numFmtId="0" fontId="21" fillId="56" borderId="0" applyNumberFormat="0" applyBorder="0" applyAlignment="0" applyProtection="0"/>
    <xf numFmtId="0" fontId="21" fillId="57" borderId="0" applyNumberFormat="0" applyBorder="0" applyAlignment="0" applyProtection="0"/>
    <xf numFmtId="0" fontId="21" fillId="58" borderId="0" applyNumberFormat="0" applyBorder="0" applyAlignment="0" applyProtection="0"/>
    <xf numFmtId="0" fontId="21" fillId="59" borderId="0" applyNumberFormat="0" applyBorder="0" applyAlignment="0" applyProtection="0"/>
    <xf numFmtId="0" fontId="21" fillId="57" borderId="0" applyNumberFormat="0" applyBorder="0" applyAlignment="0" applyProtection="0"/>
    <xf numFmtId="0" fontId="21" fillId="58" borderId="0" applyNumberFormat="0" applyBorder="0" applyAlignment="0" applyProtection="0"/>
    <xf numFmtId="0" fontId="21" fillId="59" borderId="0" applyNumberFormat="0" applyBorder="0" applyAlignment="0" applyProtection="0"/>
    <xf numFmtId="0" fontId="21" fillId="57" borderId="0" applyNumberFormat="0" applyBorder="0" applyAlignment="0" applyProtection="0"/>
    <xf numFmtId="0" fontId="21" fillId="58" borderId="0" applyNumberFormat="0" applyBorder="0" applyAlignment="0" applyProtection="0"/>
    <xf numFmtId="0" fontId="21" fillId="59" borderId="0" applyNumberFormat="0" applyBorder="0" applyAlignment="0" applyProtection="0"/>
    <xf numFmtId="0" fontId="21" fillId="57" borderId="0" applyNumberFormat="0" applyBorder="0" applyAlignment="0" applyProtection="0"/>
    <xf numFmtId="0" fontId="21" fillId="58" borderId="0" applyNumberFormat="0" applyBorder="0" applyAlignment="0" applyProtection="0"/>
    <xf numFmtId="0" fontId="21" fillId="59" borderId="0" applyNumberFormat="0" applyBorder="0" applyAlignment="0" applyProtection="0"/>
    <xf numFmtId="0" fontId="21" fillId="36" borderId="0" applyNumberFormat="0" applyBorder="0" applyAlignment="0" applyProtection="0"/>
    <xf numFmtId="0" fontId="21" fillId="57" borderId="0" applyNumberFormat="0" applyBorder="0" applyAlignment="0" applyProtection="0"/>
    <xf numFmtId="0" fontId="21" fillId="58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7" borderId="0" applyNumberFormat="0" applyBorder="0" applyAlignment="0" applyProtection="0"/>
    <xf numFmtId="0" fontId="21" fillId="58" borderId="0" applyNumberFormat="0" applyBorder="0" applyAlignment="0" applyProtection="0"/>
    <xf numFmtId="0" fontId="21" fillId="59" borderId="0" applyNumberFormat="0" applyBorder="0" applyAlignment="0" applyProtection="0"/>
    <xf numFmtId="0" fontId="21" fillId="57" borderId="0" applyNumberFormat="0" applyBorder="0" applyAlignment="0" applyProtection="0"/>
    <xf numFmtId="0" fontId="21" fillId="58" borderId="0" applyNumberFormat="0" applyBorder="0" applyAlignment="0" applyProtection="0"/>
    <xf numFmtId="0" fontId="21" fillId="59" borderId="0" applyNumberFormat="0" applyBorder="0" applyAlignment="0" applyProtection="0"/>
    <xf numFmtId="0" fontId="21" fillId="57" borderId="0" applyNumberFormat="0" applyBorder="0" applyAlignment="0" applyProtection="0"/>
    <xf numFmtId="0" fontId="21" fillId="58" borderId="0" applyNumberFormat="0" applyBorder="0" applyAlignment="0" applyProtection="0"/>
    <xf numFmtId="0" fontId="21" fillId="59" borderId="0" applyNumberFormat="0" applyBorder="0" applyAlignment="0" applyProtection="0"/>
    <xf numFmtId="0" fontId="21" fillId="57" borderId="0" applyNumberFormat="0" applyBorder="0" applyAlignment="0" applyProtection="0"/>
    <xf numFmtId="0" fontId="21" fillId="58" borderId="0" applyNumberFormat="0" applyBorder="0" applyAlignment="0" applyProtection="0"/>
    <xf numFmtId="0" fontId="21" fillId="59" borderId="0" applyNumberFormat="0" applyBorder="0" applyAlignment="0" applyProtection="0"/>
    <xf numFmtId="0" fontId="21" fillId="57" borderId="0" applyNumberFormat="0" applyBorder="0" applyAlignment="0" applyProtection="0"/>
    <xf numFmtId="0" fontId="21" fillId="58" borderId="0" applyNumberFormat="0" applyBorder="0" applyAlignment="0" applyProtection="0"/>
    <xf numFmtId="0" fontId="21" fillId="59" borderId="0" applyNumberFormat="0" applyBorder="0" applyAlignment="0" applyProtection="0"/>
    <xf numFmtId="0" fontId="21" fillId="57" borderId="0" applyNumberFormat="0" applyBorder="0" applyAlignment="0" applyProtection="0"/>
    <xf numFmtId="0" fontId="21" fillId="58" borderId="0" applyNumberFormat="0" applyBorder="0" applyAlignment="0" applyProtection="0"/>
    <xf numFmtId="0" fontId="21" fillId="59" borderId="0" applyNumberFormat="0" applyBorder="0" applyAlignment="0" applyProtection="0"/>
    <xf numFmtId="0" fontId="21" fillId="57" borderId="0" applyNumberFormat="0" applyBorder="0" applyAlignment="0" applyProtection="0"/>
    <xf numFmtId="0" fontId="21" fillId="58" borderId="0" applyNumberFormat="0" applyBorder="0" applyAlignment="0" applyProtection="0"/>
    <xf numFmtId="0" fontId="21" fillId="59" borderId="0" applyNumberFormat="0" applyBorder="0" applyAlignment="0" applyProtection="0"/>
    <xf numFmtId="0" fontId="21" fillId="60" borderId="0" applyNumberFormat="0" applyBorder="0" applyAlignment="0" applyProtection="0"/>
    <xf numFmtId="0" fontId="21" fillId="61" borderId="0" applyNumberFormat="0" applyBorder="0" applyAlignment="0" applyProtection="0"/>
    <xf numFmtId="0" fontId="21" fillId="60" borderId="0" applyNumberFormat="0" applyBorder="0" applyAlignment="0" applyProtection="0"/>
    <xf numFmtId="0" fontId="21" fillId="61" borderId="0" applyNumberFormat="0" applyBorder="0" applyAlignment="0" applyProtection="0"/>
    <xf numFmtId="0" fontId="21" fillId="60" borderId="0" applyNumberFormat="0" applyBorder="0" applyAlignment="0" applyProtection="0"/>
    <xf numFmtId="0" fontId="21" fillId="61" borderId="0" applyNumberFormat="0" applyBorder="0" applyAlignment="0" applyProtection="0"/>
    <xf numFmtId="0" fontId="21" fillId="60" borderId="0" applyNumberFormat="0" applyBorder="0" applyAlignment="0" applyProtection="0"/>
    <xf numFmtId="0" fontId="21" fillId="61" borderId="0" applyNumberFormat="0" applyBorder="0" applyAlignment="0" applyProtection="0"/>
    <xf numFmtId="0" fontId="21" fillId="56" borderId="0" applyNumberFormat="0" applyBorder="0" applyAlignment="0" applyProtection="0"/>
    <xf numFmtId="0" fontId="21" fillId="60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0" borderId="0" applyNumberFormat="0" applyBorder="0" applyAlignment="0" applyProtection="0"/>
    <xf numFmtId="0" fontId="21" fillId="61" borderId="0" applyNumberFormat="0" applyBorder="0" applyAlignment="0" applyProtection="0"/>
    <xf numFmtId="0" fontId="21" fillId="60" borderId="0" applyNumberFormat="0" applyBorder="0" applyAlignment="0" applyProtection="0"/>
    <xf numFmtId="0" fontId="21" fillId="61" borderId="0" applyNumberFormat="0" applyBorder="0" applyAlignment="0" applyProtection="0"/>
    <xf numFmtId="0" fontId="21" fillId="60" borderId="0" applyNumberFormat="0" applyBorder="0" applyAlignment="0" applyProtection="0"/>
    <xf numFmtId="0" fontId="21" fillId="61" borderId="0" applyNumberFormat="0" applyBorder="0" applyAlignment="0" applyProtection="0"/>
    <xf numFmtId="0" fontId="21" fillId="60" borderId="0" applyNumberFormat="0" applyBorder="0" applyAlignment="0" applyProtection="0"/>
    <xf numFmtId="0" fontId="21" fillId="61" borderId="0" applyNumberFormat="0" applyBorder="0" applyAlignment="0" applyProtection="0"/>
    <xf numFmtId="0" fontId="21" fillId="60" borderId="0" applyNumberFormat="0" applyBorder="0" applyAlignment="0" applyProtection="0"/>
    <xf numFmtId="0" fontId="21" fillId="61" borderId="0" applyNumberFormat="0" applyBorder="0" applyAlignment="0" applyProtection="0"/>
    <xf numFmtId="0" fontId="21" fillId="60" borderId="0" applyNumberFormat="0" applyBorder="0" applyAlignment="0" applyProtection="0"/>
    <xf numFmtId="0" fontId="21" fillId="61" borderId="0" applyNumberFormat="0" applyBorder="0" applyAlignment="0" applyProtection="0"/>
    <xf numFmtId="0" fontId="21" fillId="60" borderId="0" applyNumberFormat="0" applyBorder="0" applyAlignment="0" applyProtection="0"/>
    <xf numFmtId="0" fontId="21" fillId="61" borderId="0" applyNumberFormat="0" applyBorder="0" applyAlignment="0" applyProtection="0"/>
    <xf numFmtId="0" fontId="21" fillId="62" borderId="0" applyNumberFormat="0" applyBorder="0" applyAlignment="0" applyProtection="0"/>
    <xf numFmtId="0" fontId="21" fillId="63" borderId="0" applyNumberFormat="0" applyBorder="0" applyAlignment="0" applyProtection="0"/>
    <xf numFmtId="0" fontId="21" fillId="62" borderId="0" applyNumberFormat="0" applyBorder="0" applyAlignment="0" applyProtection="0"/>
    <xf numFmtId="0" fontId="21" fillId="63" borderId="0" applyNumberFormat="0" applyBorder="0" applyAlignment="0" applyProtection="0"/>
    <xf numFmtId="0" fontId="21" fillId="62" borderId="0" applyNumberFormat="0" applyBorder="0" applyAlignment="0" applyProtection="0"/>
    <xf numFmtId="0" fontId="21" fillId="63" borderId="0" applyNumberFormat="0" applyBorder="0" applyAlignment="0" applyProtection="0"/>
    <xf numFmtId="0" fontId="21" fillId="62" borderId="0" applyNumberFormat="0" applyBorder="0" applyAlignment="0" applyProtection="0"/>
    <xf numFmtId="0" fontId="21" fillId="63" borderId="0" applyNumberFormat="0" applyBorder="0" applyAlignment="0" applyProtection="0"/>
    <xf numFmtId="0" fontId="21" fillId="59" borderId="0" applyNumberFormat="0" applyBorder="0" applyAlignment="0" applyProtection="0"/>
    <xf numFmtId="0" fontId="21" fillId="62" borderId="0" applyNumberFormat="0" applyBorder="0" applyAlignment="0" applyProtection="0"/>
    <xf numFmtId="0" fontId="21" fillId="63" borderId="0" applyNumberFormat="0" applyBorder="0" applyAlignment="0" applyProtection="0"/>
    <xf numFmtId="0" fontId="21" fillId="63" borderId="0" applyNumberFormat="0" applyBorder="0" applyAlignment="0" applyProtection="0"/>
    <xf numFmtId="0" fontId="21" fillId="62" borderId="0" applyNumberFormat="0" applyBorder="0" applyAlignment="0" applyProtection="0"/>
    <xf numFmtId="0" fontId="21" fillId="63" borderId="0" applyNumberFormat="0" applyBorder="0" applyAlignment="0" applyProtection="0"/>
    <xf numFmtId="0" fontId="21" fillId="62" borderId="0" applyNumberFormat="0" applyBorder="0" applyAlignment="0" applyProtection="0"/>
    <xf numFmtId="0" fontId="21" fillId="63" borderId="0" applyNumberFormat="0" applyBorder="0" applyAlignment="0" applyProtection="0"/>
    <xf numFmtId="0" fontId="21" fillId="62" borderId="0" applyNumberFormat="0" applyBorder="0" applyAlignment="0" applyProtection="0"/>
    <xf numFmtId="0" fontId="21" fillId="63" borderId="0" applyNumberFormat="0" applyBorder="0" applyAlignment="0" applyProtection="0"/>
    <xf numFmtId="0" fontId="21" fillId="62" borderId="0" applyNumberFormat="0" applyBorder="0" applyAlignment="0" applyProtection="0"/>
    <xf numFmtId="0" fontId="21" fillId="63" borderId="0" applyNumberFormat="0" applyBorder="0" applyAlignment="0" applyProtection="0"/>
    <xf numFmtId="0" fontId="21" fillId="62" borderId="0" applyNumberFormat="0" applyBorder="0" applyAlignment="0" applyProtection="0"/>
    <xf numFmtId="0" fontId="21" fillId="63" borderId="0" applyNumberFormat="0" applyBorder="0" applyAlignment="0" applyProtection="0"/>
    <xf numFmtId="0" fontId="21" fillId="62" borderId="0" applyNumberFormat="0" applyBorder="0" applyAlignment="0" applyProtection="0"/>
    <xf numFmtId="0" fontId="21" fillId="63" borderId="0" applyNumberFormat="0" applyBorder="0" applyAlignment="0" applyProtection="0"/>
    <xf numFmtId="0" fontId="21" fillId="62" borderId="0" applyNumberFormat="0" applyBorder="0" applyAlignment="0" applyProtection="0"/>
    <xf numFmtId="0" fontId="21" fillId="63" borderId="0" applyNumberFormat="0" applyBorder="0" applyAlignment="0" applyProtection="0"/>
    <xf numFmtId="0" fontId="21" fillId="64" borderId="0" applyNumberFormat="0" applyBorder="0" applyAlignment="0" applyProtection="0"/>
    <xf numFmtId="0" fontId="21" fillId="65" borderId="0" applyNumberFormat="0" applyBorder="0" applyAlignment="0" applyProtection="0"/>
    <xf numFmtId="0" fontId="21" fillId="66" borderId="0" applyNumberFormat="0" applyBorder="0" applyAlignment="0" applyProtection="0"/>
    <xf numFmtId="0" fontId="21" fillId="64" borderId="0" applyNumberFormat="0" applyBorder="0" applyAlignment="0" applyProtection="0"/>
    <xf numFmtId="0" fontId="21" fillId="65" borderId="0" applyNumberFormat="0" applyBorder="0" applyAlignment="0" applyProtection="0"/>
    <xf numFmtId="0" fontId="21" fillId="66" borderId="0" applyNumberFormat="0" applyBorder="0" applyAlignment="0" applyProtection="0"/>
    <xf numFmtId="0" fontId="21" fillId="64" borderId="0" applyNumberFormat="0" applyBorder="0" applyAlignment="0" applyProtection="0"/>
    <xf numFmtId="0" fontId="21" fillId="65" borderId="0" applyNumberFormat="0" applyBorder="0" applyAlignment="0" applyProtection="0"/>
    <xf numFmtId="0" fontId="21" fillId="66" borderId="0" applyNumberFormat="0" applyBorder="0" applyAlignment="0" applyProtection="0"/>
    <xf numFmtId="0" fontId="21" fillId="64" borderId="0" applyNumberFormat="0" applyBorder="0" applyAlignment="0" applyProtection="0"/>
    <xf numFmtId="0" fontId="21" fillId="65" borderId="0" applyNumberFormat="0" applyBorder="0" applyAlignment="0" applyProtection="0"/>
    <xf numFmtId="0" fontId="21" fillId="66" borderId="0" applyNumberFormat="0" applyBorder="0" applyAlignment="0" applyProtection="0"/>
    <xf numFmtId="0" fontId="21" fillId="51" borderId="0" applyNumberFormat="0" applyBorder="0" applyAlignment="0" applyProtection="0"/>
    <xf numFmtId="0" fontId="21" fillId="64" borderId="0" applyNumberFormat="0" applyBorder="0" applyAlignment="0" applyProtection="0"/>
    <xf numFmtId="0" fontId="21" fillId="65" borderId="0" applyNumberFormat="0" applyBorder="0" applyAlignment="0" applyProtection="0"/>
    <xf numFmtId="0" fontId="21" fillId="66" borderId="0" applyNumberFormat="0" applyBorder="0" applyAlignment="0" applyProtection="0"/>
    <xf numFmtId="0" fontId="21" fillId="66" borderId="0" applyNumberFormat="0" applyBorder="0" applyAlignment="0" applyProtection="0"/>
    <xf numFmtId="0" fontId="21" fillId="66" borderId="0" applyNumberFormat="0" applyBorder="0" applyAlignment="0" applyProtection="0"/>
    <xf numFmtId="0" fontId="21" fillId="64" borderId="0" applyNumberFormat="0" applyBorder="0" applyAlignment="0" applyProtection="0"/>
    <xf numFmtId="0" fontId="21" fillId="65" borderId="0" applyNumberFormat="0" applyBorder="0" applyAlignment="0" applyProtection="0"/>
    <xf numFmtId="0" fontId="21" fillId="66" borderId="0" applyNumberFormat="0" applyBorder="0" applyAlignment="0" applyProtection="0"/>
    <xf numFmtId="0" fontId="21" fillId="64" borderId="0" applyNumberFormat="0" applyBorder="0" applyAlignment="0" applyProtection="0"/>
    <xf numFmtId="0" fontId="21" fillId="65" borderId="0" applyNumberFormat="0" applyBorder="0" applyAlignment="0" applyProtection="0"/>
    <xf numFmtId="0" fontId="21" fillId="66" borderId="0" applyNumberFormat="0" applyBorder="0" applyAlignment="0" applyProtection="0"/>
    <xf numFmtId="0" fontId="21" fillId="64" borderId="0" applyNumberFormat="0" applyBorder="0" applyAlignment="0" applyProtection="0"/>
    <xf numFmtId="0" fontId="21" fillId="65" borderId="0" applyNumberFormat="0" applyBorder="0" applyAlignment="0" applyProtection="0"/>
    <xf numFmtId="0" fontId="21" fillId="66" borderId="0" applyNumberFormat="0" applyBorder="0" applyAlignment="0" applyProtection="0"/>
    <xf numFmtId="0" fontId="21" fillId="64" borderId="0" applyNumberFormat="0" applyBorder="0" applyAlignment="0" applyProtection="0"/>
    <xf numFmtId="0" fontId="21" fillId="65" borderId="0" applyNumberFormat="0" applyBorder="0" applyAlignment="0" applyProtection="0"/>
    <xf numFmtId="0" fontId="21" fillId="66" borderId="0" applyNumberFormat="0" applyBorder="0" applyAlignment="0" applyProtection="0"/>
    <xf numFmtId="0" fontId="21" fillId="64" borderId="0" applyNumberFormat="0" applyBorder="0" applyAlignment="0" applyProtection="0"/>
    <xf numFmtId="0" fontId="21" fillId="65" borderId="0" applyNumberFormat="0" applyBorder="0" applyAlignment="0" applyProtection="0"/>
    <xf numFmtId="0" fontId="21" fillId="66" borderId="0" applyNumberFormat="0" applyBorder="0" applyAlignment="0" applyProtection="0"/>
    <xf numFmtId="0" fontId="21" fillId="64" borderId="0" applyNumberFormat="0" applyBorder="0" applyAlignment="0" applyProtection="0"/>
    <xf numFmtId="0" fontId="21" fillId="65" borderId="0" applyNumberFormat="0" applyBorder="0" applyAlignment="0" applyProtection="0"/>
    <xf numFmtId="0" fontId="21" fillId="66" borderId="0" applyNumberFormat="0" applyBorder="0" applyAlignment="0" applyProtection="0"/>
    <xf numFmtId="0" fontId="21" fillId="64" borderId="0" applyNumberFormat="0" applyBorder="0" applyAlignment="0" applyProtection="0"/>
    <xf numFmtId="0" fontId="21" fillId="65" borderId="0" applyNumberFormat="0" applyBorder="0" applyAlignment="0" applyProtection="0"/>
    <xf numFmtId="0" fontId="21" fillId="66" borderId="0" applyNumberFormat="0" applyBorder="0" applyAlignment="0" applyProtection="0"/>
    <xf numFmtId="0" fontId="21" fillId="52" borderId="0" applyNumberFormat="0" applyBorder="0" applyAlignment="0" applyProtection="0"/>
    <xf numFmtId="0" fontId="21" fillId="53" borderId="0" applyNumberFormat="0" applyBorder="0" applyAlignment="0" applyProtection="0"/>
    <xf numFmtId="0" fontId="21" fillId="52" borderId="0" applyNumberFormat="0" applyBorder="0" applyAlignment="0" applyProtection="0"/>
    <xf numFmtId="0" fontId="21" fillId="53" borderId="0" applyNumberFormat="0" applyBorder="0" applyAlignment="0" applyProtection="0"/>
    <xf numFmtId="0" fontId="21" fillId="52" borderId="0" applyNumberFormat="0" applyBorder="0" applyAlignment="0" applyProtection="0"/>
    <xf numFmtId="0" fontId="21" fillId="53" borderId="0" applyNumberFormat="0" applyBorder="0" applyAlignment="0" applyProtection="0"/>
    <xf numFmtId="0" fontId="21" fillId="52" borderId="0" applyNumberFormat="0" applyBorder="0" applyAlignment="0" applyProtection="0"/>
    <xf numFmtId="0" fontId="21" fillId="53" borderId="0" applyNumberFormat="0" applyBorder="0" applyAlignment="0" applyProtection="0"/>
    <xf numFmtId="0" fontId="21" fillId="48" borderId="0" applyNumberFormat="0" applyBorder="0" applyAlignment="0" applyProtection="0"/>
    <xf numFmtId="0" fontId="21" fillId="52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2" borderId="0" applyNumberFormat="0" applyBorder="0" applyAlignment="0" applyProtection="0"/>
    <xf numFmtId="0" fontId="21" fillId="53" borderId="0" applyNumberFormat="0" applyBorder="0" applyAlignment="0" applyProtection="0"/>
    <xf numFmtId="0" fontId="21" fillId="52" borderId="0" applyNumberFormat="0" applyBorder="0" applyAlignment="0" applyProtection="0"/>
    <xf numFmtId="0" fontId="21" fillId="53" borderId="0" applyNumberFormat="0" applyBorder="0" applyAlignment="0" applyProtection="0"/>
    <xf numFmtId="0" fontId="21" fillId="52" borderId="0" applyNumberFormat="0" applyBorder="0" applyAlignment="0" applyProtection="0"/>
    <xf numFmtId="0" fontId="21" fillId="53" borderId="0" applyNumberFormat="0" applyBorder="0" applyAlignment="0" applyProtection="0"/>
    <xf numFmtId="0" fontId="21" fillId="52" borderId="0" applyNumberFormat="0" applyBorder="0" applyAlignment="0" applyProtection="0"/>
    <xf numFmtId="0" fontId="21" fillId="53" borderId="0" applyNumberFormat="0" applyBorder="0" applyAlignment="0" applyProtection="0"/>
    <xf numFmtId="0" fontId="21" fillId="52" borderId="0" applyNumberFormat="0" applyBorder="0" applyAlignment="0" applyProtection="0"/>
    <xf numFmtId="0" fontId="21" fillId="53" borderId="0" applyNumberFormat="0" applyBorder="0" applyAlignment="0" applyProtection="0"/>
    <xf numFmtId="0" fontId="21" fillId="52" borderId="0" applyNumberFormat="0" applyBorder="0" applyAlignment="0" applyProtection="0"/>
    <xf numFmtId="0" fontId="21" fillId="53" borderId="0" applyNumberFormat="0" applyBorder="0" applyAlignment="0" applyProtection="0"/>
    <xf numFmtId="0" fontId="21" fillId="52" borderId="0" applyNumberFormat="0" applyBorder="0" applyAlignment="0" applyProtection="0"/>
    <xf numFmtId="0" fontId="21" fillId="53" borderId="0" applyNumberFormat="0" applyBorder="0" applyAlignment="0" applyProtection="0"/>
    <xf numFmtId="0" fontId="21" fillId="55" borderId="0" applyNumberFormat="0" applyBorder="0" applyAlignment="0" applyProtection="0"/>
    <xf numFmtId="0" fontId="21" fillId="56" borderId="0" applyNumberFormat="0" applyBorder="0" applyAlignment="0" applyProtection="0"/>
    <xf numFmtId="0" fontId="21" fillId="55" borderId="0" applyNumberFormat="0" applyBorder="0" applyAlignment="0" applyProtection="0"/>
    <xf numFmtId="0" fontId="21" fillId="56" borderId="0" applyNumberFormat="0" applyBorder="0" applyAlignment="0" applyProtection="0"/>
    <xf numFmtId="0" fontId="21" fillId="55" borderId="0" applyNumberFormat="0" applyBorder="0" applyAlignment="0" applyProtection="0"/>
    <xf numFmtId="0" fontId="21" fillId="56" borderId="0" applyNumberFormat="0" applyBorder="0" applyAlignment="0" applyProtection="0"/>
    <xf numFmtId="0" fontId="21" fillId="55" borderId="0" applyNumberFormat="0" applyBorder="0" applyAlignment="0" applyProtection="0"/>
    <xf numFmtId="0" fontId="21" fillId="56" borderId="0" applyNumberFormat="0" applyBorder="0" applyAlignment="0" applyProtection="0"/>
    <xf numFmtId="0" fontId="21" fillId="61" borderId="0" applyNumberFormat="0" applyBorder="0" applyAlignment="0" applyProtection="0"/>
    <xf numFmtId="0" fontId="21" fillId="55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5" borderId="0" applyNumberFormat="0" applyBorder="0" applyAlignment="0" applyProtection="0"/>
    <xf numFmtId="0" fontId="21" fillId="56" borderId="0" applyNumberFormat="0" applyBorder="0" applyAlignment="0" applyProtection="0"/>
    <xf numFmtId="0" fontId="21" fillId="55" borderId="0" applyNumberFormat="0" applyBorder="0" applyAlignment="0" applyProtection="0"/>
    <xf numFmtId="0" fontId="21" fillId="56" borderId="0" applyNumberFormat="0" applyBorder="0" applyAlignment="0" applyProtection="0"/>
    <xf numFmtId="0" fontId="21" fillId="55" borderId="0" applyNumberFormat="0" applyBorder="0" applyAlignment="0" applyProtection="0"/>
    <xf numFmtId="0" fontId="21" fillId="56" borderId="0" applyNumberFormat="0" applyBorder="0" applyAlignment="0" applyProtection="0"/>
    <xf numFmtId="0" fontId="21" fillId="55" borderId="0" applyNumberFormat="0" applyBorder="0" applyAlignment="0" applyProtection="0"/>
    <xf numFmtId="0" fontId="21" fillId="56" borderId="0" applyNumberFormat="0" applyBorder="0" applyAlignment="0" applyProtection="0"/>
    <xf numFmtId="0" fontId="21" fillId="55" borderId="0" applyNumberFormat="0" applyBorder="0" applyAlignment="0" applyProtection="0"/>
    <xf numFmtId="0" fontId="21" fillId="56" borderId="0" applyNumberFormat="0" applyBorder="0" applyAlignment="0" applyProtection="0"/>
    <xf numFmtId="0" fontId="21" fillId="55" borderId="0" applyNumberFormat="0" applyBorder="0" applyAlignment="0" applyProtection="0"/>
    <xf numFmtId="0" fontId="21" fillId="56" borderId="0" applyNumberFormat="0" applyBorder="0" applyAlignment="0" applyProtection="0"/>
    <xf numFmtId="0" fontId="21" fillId="55" borderId="0" applyNumberFormat="0" applyBorder="0" applyAlignment="0" applyProtection="0"/>
    <xf numFmtId="0" fontId="21" fillId="56" borderId="0" applyNumberFormat="0" applyBorder="0" applyAlignment="0" applyProtection="0"/>
    <xf numFmtId="0" fontId="21" fillId="67" borderId="0" applyNumberFormat="0" applyBorder="0" applyAlignment="0" applyProtection="0"/>
    <xf numFmtId="0" fontId="21" fillId="68" borderId="0" applyNumberFormat="0" applyBorder="0" applyAlignment="0" applyProtection="0"/>
    <xf numFmtId="0" fontId="21" fillId="69" borderId="0" applyNumberFormat="0" applyBorder="0" applyAlignment="0" applyProtection="0"/>
    <xf numFmtId="0" fontId="21" fillId="67" borderId="0" applyNumberFormat="0" applyBorder="0" applyAlignment="0" applyProtection="0"/>
    <xf numFmtId="0" fontId="21" fillId="68" borderId="0" applyNumberFormat="0" applyBorder="0" applyAlignment="0" applyProtection="0"/>
    <xf numFmtId="0" fontId="21" fillId="69" borderId="0" applyNumberFormat="0" applyBorder="0" applyAlignment="0" applyProtection="0"/>
    <xf numFmtId="0" fontId="21" fillId="67" borderId="0" applyNumberFormat="0" applyBorder="0" applyAlignment="0" applyProtection="0"/>
    <xf numFmtId="0" fontId="21" fillId="68" borderId="0" applyNumberFormat="0" applyBorder="0" applyAlignment="0" applyProtection="0"/>
    <xf numFmtId="0" fontId="21" fillId="69" borderId="0" applyNumberFormat="0" applyBorder="0" applyAlignment="0" applyProtection="0"/>
    <xf numFmtId="0" fontId="21" fillId="67" borderId="0" applyNumberFormat="0" applyBorder="0" applyAlignment="0" applyProtection="0"/>
    <xf numFmtId="0" fontId="21" fillId="68" borderId="0" applyNumberFormat="0" applyBorder="0" applyAlignment="0" applyProtection="0"/>
    <xf numFmtId="0" fontId="21" fillId="69" borderId="0" applyNumberFormat="0" applyBorder="0" applyAlignment="0" applyProtection="0"/>
    <xf numFmtId="0" fontId="21" fillId="66" borderId="0" applyNumberFormat="0" applyBorder="0" applyAlignment="0" applyProtection="0"/>
    <xf numFmtId="0" fontId="21" fillId="67" borderId="0" applyNumberFormat="0" applyBorder="0" applyAlignment="0" applyProtection="0"/>
    <xf numFmtId="0" fontId="21" fillId="68" borderId="0" applyNumberFormat="0" applyBorder="0" applyAlignment="0" applyProtection="0"/>
    <xf numFmtId="0" fontId="21" fillId="69" borderId="0" applyNumberFormat="0" applyBorder="0" applyAlignment="0" applyProtection="0"/>
    <xf numFmtId="0" fontId="21" fillId="69" borderId="0" applyNumberFormat="0" applyBorder="0" applyAlignment="0" applyProtection="0"/>
    <xf numFmtId="0" fontId="21" fillId="69" borderId="0" applyNumberFormat="0" applyBorder="0" applyAlignment="0" applyProtection="0"/>
    <xf numFmtId="0" fontId="21" fillId="67" borderId="0" applyNumberFormat="0" applyBorder="0" applyAlignment="0" applyProtection="0"/>
    <xf numFmtId="0" fontId="21" fillId="68" borderId="0" applyNumberFormat="0" applyBorder="0" applyAlignment="0" applyProtection="0"/>
    <xf numFmtId="0" fontId="21" fillId="69" borderId="0" applyNumberFormat="0" applyBorder="0" applyAlignment="0" applyProtection="0"/>
    <xf numFmtId="0" fontId="21" fillId="67" borderId="0" applyNumberFormat="0" applyBorder="0" applyAlignment="0" applyProtection="0"/>
    <xf numFmtId="0" fontId="21" fillId="68" borderId="0" applyNumberFormat="0" applyBorder="0" applyAlignment="0" applyProtection="0"/>
    <xf numFmtId="0" fontId="21" fillId="69" borderId="0" applyNumberFormat="0" applyBorder="0" applyAlignment="0" applyProtection="0"/>
    <xf numFmtId="0" fontId="21" fillId="67" borderId="0" applyNumberFormat="0" applyBorder="0" applyAlignment="0" applyProtection="0"/>
    <xf numFmtId="0" fontId="21" fillId="68" borderId="0" applyNumberFormat="0" applyBorder="0" applyAlignment="0" applyProtection="0"/>
    <xf numFmtId="0" fontId="21" fillId="69" borderId="0" applyNumberFormat="0" applyBorder="0" applyAlignment="0" applyProtection="0"/>
    <xf numFmtId="0" fontId="21" fillId="67" borderId="0" applyNumberFormat="0" applyBorder="0" applyAlignment="0" applyProtection="0"/>
    <xf numFmtId="0" fontId="21" fillId="68" borderId="0" applyNumberFormat="0" applyBorder="0" applyAlignment="0" applyProtection="0"/>
    <xf numFmtId="0" fontId="21" fillId="69" borderId="0" applyNumberFormat="0" applyBorder="0" applyAlignment="0" applyProtection="0"/>
    <xf numFmtId="0" fontId="21" fillId="67" borderId="0" applyNumberFormat="0" applyBorder="0" applyAlignment="0" applyProtection="0"/>
    <xf numFmtId="0" fontId="21" fillId="68" borderId="0" applyNumberFormat="0" applyBorder="0" applyAlignment="0" applyProtection="0"/>
    <xf numFmtId="0" fontId="21" fillId="69" borderId="0" applyNumberFormat="0" applyBorder="0" applyAlignment="0" applyProtection="0"/>
    <xf numFmtId="0" fontId="21" fillId="67" borderId="0" applyNumberFormat="0" applyBorder="0" applyAlignment="0" applyProtection="0"/>
    <xf numFmtId="0" fontId="21" fillId="68" borderId="0" applyNumberFormat="0" applyBorder="0" applyAlignment="0" applyProtection="0"/>
    <xf numFmtId="0" fontId="21" fillId="69" borderId="0" applyNumberFormat="0" applyBorder="0" applyAlignment="0" applyProtection="0"/>
    <xf numFmtId="0" fontId="21" fillId="67" borderId="0" applyNumberFormat="0" applyBorder="0" applyAlignment="0" applyProtection="0"/>
    <xf numFmtId="0" fontId="21" fillId="68" borderId="0" applyNumberFormat="0" applyBorder="0" applyAlignment="0" applyProtection="0"/>
    <xf numFmtId="0" fontId="21" fillId="69" borderId="0" applyNumberFormat="0" applyBorder="0" applyAlignment="0" applyProtection="0"/>
    <xf numFmtId="182" fontId="22" fillId="0" borderId="0" applyFont="0" applyFill="0" applyBorder="0" applyAlignment="0" applyProtection="0"/>
    <xf numFmtId="182" fontId="22" fillId="0" borderId="0" applyFont="0" applyFill="0" applyBorder="0" applyAlignment="0" applyProtection="0"/>
    <xf numFmtId="182" fontId="13" fillId="0" borderId="0" applyFill="0" applyBorder="0" applyAlignment="0" applyProtection="0"/>
    <xf numFmtId="182" fontId="13" fillId="0" borderId="0" applyFill="0" applyBorder="0" applyAlignment="0" applyProtection="0"/>
    <xf numFmtId="182" fontId="13" fillId="0" borderId="0" applyFill="0" applyBorder="0" applyAlignment="0" applyProtection="0"/>
    <xf numFmtId="0" fontId="23" fillId="0" borderId="0">
      <alignment horizontal="center" wrapText="1"/>
      <protection locked="0"/>
    </xf>
    <xf numFmtId="0" fontId="23" fillId="0" borderId="0">
      <alignment horizontal="center" wrapText="1"/>
      <protection locked="0"/>
    </xf>
    <xf numFmtId="0" fontId="24" fillId="0" borderId="0"/>
    <xf numFmtId="0" fontId="24" fillId="0" borderId="0"/>
    <xf numFmtId="0" fontId="25" fillId="0" borderId="0"/>
    <xf numFmtId="0" fontId="25" fillId="0" borderId="0"/>
    <xf numFmtId="0" fontId="13" fillId="0" borderId="0"/>
    <xf numFmtId="0" fontId="13" fillId="0" borderId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Border="0" applyProtection="0"/>
    <xf numFmtId="0" fontId="26" fillId="24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27" fillId="0" borderId="0" applyNumberFormat="0" applyAlignment="0"/>
    <xf numFmtId="0" fontId="27" fillId="0" borderId="0" applyNumberFormat="0" applyAlignment="0"/>
    <xf numFmtId="0" fontId="28" fillId="0" borderId="0" applyNumberFormat="0" applyAlignment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183" fontId="14" fillId="0" borderId="0" applyFill="0" applyBorder="0" applyAlignment="0"/>
    <xf numFmtId="183" fontId="14" fillId="0" borderId="0" applyFill="0" applyBorder="0" applyAlignment="0"/>
    <xf numFmtId="184" fontId="31" fillId="0" borderId="0" applyFill="0" applyBorder="0" applyAlignment="0"/>
    <xf numFmtId="185" fontId="31" fillId="0" borderId="0" applyFill="0" applyBorder="0" applyAlignment="0"/>
    <xf numFmtId="186" fontId="13" fillId="0" borderId="0" applyFill="0" applyBorder="0" applyAlignment="0"/>
    <xf numFmtId="187" fontId="13" fillId="0" borderId="0" applyFill="0" applyBorder="0" applyAlignment="0"/>
    <xf numFmtId="188" fontId="13" fillId="0" borderId="0" applyFill="0" applyBorder="0" applyAlignment="0"/>
    <xf numFmtId="189" fontId="13" fillId="0" borderId="0" applyFill="0" applyBorder="0" applyAlignment="0"/>
    <xf numFmtId="190" fontId="13" fillId="0" borderId="0" applyFill="0" applyBorder="0" applyAlignment="0"/>
    <xf numFmtId="191" fontId="32" fillId="0" borderId="0" applyFill="0" applyBorder="0" applyAlignment="0"/>
    <xf numFmtId="191" fontId="32" fillId="0" borderId="0" applyFill="0" applyBorder="0" applyAlignment="0"/>
    <xf numFmtId="0" fontId="33" fillId="70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70" borderId="13" applyNumberFormat="0" applyAlignment="0" applyProtection="0"/>
    <xf numFmtId="0" fontId="33" fillId="70" borderId="13" applyNumberFormat="0" applyAlignment="0" applyProtection="0"/>
    <xf numFmtId="0" fontId="33" fillId="70" borderId="13" applyNumberFormat="0" applyAlignment="0" applyProtection="0"/>
    <xf numFmtId="0" fontId="33" fillId="70" borderId="13" applyNumberFormat="0" applyAlignment="0" applyProtection="0"/>
    <xf numFmtId="0" fontId="33" fillId="70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70" borderId="13" applyNumberFormat="0" applyAlignment="0" applyProtection="0"/>
    <xf numFmtId="0" fontId="33" fillId="70" borderId="13" applyNumberFormat="0" applyAlignment="0" applyProtection="0"/>
    <xf numFmtId="0" fontId="33" fillId="70" borderId="13" applyNumberFormat="0" applyAlignment="0" applyProtection="0"/>
    <xf numFmtId="0" fontId="33" fillId="70" borderId="13" applyNumberFormat="0" applyAlignment="0" applyProtection="0"/>
    <xf numFmtId="0" fontId="33" fillId="70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70" borderId="13" applyNumberFormat="0" applyAlignment="0" applyProtection="0"/>
    <xf numFmtId="0" fontId="33" fillId="70" borderId="13" applyNumberFormat="0" applyAlignment="0" applyProtection="0"/>
    <xf numFmtId="0" fontId="33" fillId="70" borderId="13" applyNumberFormat="0" applyAlignment="0" applyProtection="0"/>
    <xf numFmtId="0" fontId="33" fillId="70" borderId="13" applyNumberFormat="0" applyAlignment="0" applyProtection="0"/>
    <xf numFmtId="0" fontId="33" fillId="70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70" borderId="13" applyNumberFormat="0" applyAlignment="0" applyProtection="0"/>
    <xf numFmtId="0" fontId="33" fillId="70" borderId="13" applyNumberFormat="0" applyAlignment="0" applyProtection="0"/>
    <xf numFmtId="0" fontId="33" fillId="70" borderId="13" applyNumberFormat="0" applyAlignment="0" applyProtection="0"/>
    <xf numFmtId="0" fontId="33" fillId="70" borderId="13" applyNumberFormat="0" applyAlignment="0" applyProtection="0"/>
    <xf numFmtId="0" fontId="33" fillId="15" borderId="13" applyNumberFormat="0" applyAlignment="0" applyProtection="0"/>
    <xf numFmtId="0" fontId="33" fillId="15" borderId="13" applyNumberFormat="0" applyAlignment="0" applyProtection="0"/>
    <xf numFmtId="0" fontId="33" fillId="15" borderId="13" applyNumberFormat="0" applyAlignment="0" applyProtection="0"/>
    <xf numFmtId="0" fontId="33" fillId="15" borderId="13" applyNumberFormat="0" applyAlignment="0" applyProtection="0"/>
    <xf numFmtId="0" fontId="33" fillId="15" borderId="13" applyNumberFormat="0" applyAlignment="0" applyProtection="0"/>
    <xf numFmtId="0" fontId="33" fillId="70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70" borderId="13" applyNumberFormat="0" applyAlignment="0" applyProtection="0"/>
    <xf numFmtId="0" fontId="33" fillId="70" borderId="13" applyNumberFormat="0" applyAlignment="0" applyProtection="0"/>
    <xf numFmtId="0" fontId="33" fillId="70" borderId="13" applyNumberFormat="0" applyAlignment="0" applyProtection="0"/>
    <xf numFmtId="0" fontId="33" fillId="70" borderId="13" applyNumberFormat="0" applyAlignment="0" applyProtection="0"/>
    <xf numFmtId="0" fontId="33" fillId="36" borderId="13" applyNumberFormat="0" applyAlignment="0" applyProtection="0"/>
    <xf numFmtId="0" fontId="33" fillId="70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70" borderId="13" applyNumberFormat="0" applyAlignment="0" applyProtection="0"/>
    <xf numFmtId="0" fontId="33" fillId="70" borderId="13" applyNumberFormat="0" applyAlignment="0" applyProtection="0"/>
    <xf numFmtId="0" fontId="33" fillId="70" borderId="13" applyNumberFormat="0" applyAlignment="0" applyProtection="0"/>
    <xf numFmtId="0" fontId="33" fillId="70" borderId="13" applyNumberFormat="0" applyAlignment="0" applyProtection="0"/>
    <xf numFmtId="0" fontId="33" fillId="70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70" borderId="13" applyNumberFormat="0" applyAlignment="0" applyProtection="0"/>
    <xf numFmtId="0" fontId="33" fillId="70" borderId="13" applyNumberFormat="0" applyAlignment="0" applyProtection="0"/>
    <xf numFmtId="0" fontId="33" fillId="70" borderId="13" applyNumberFormat="0" applyAlignment="0" applyProtection="0"/>
    <xf numFmtId="0" fontId="33" fillId="70" borderId="13" applyNumberFormat="0" applyAlignment="0" applyProtection="0"/>
    <xf numFmtId="0" fontId="33" fillId="70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70" borderId="13" applyNumberFormat="0" applyAlignment="0" applyProtection="0"/>
    <xf numFmtId="0" fontId="33" fillId="70" borderId="13" applyNumberFormat="0" applyAlignment="0" applyProtection="0"/>
    <xf numFmtId="0" fontId="33" fillId="70" borderId="13" applyNumberFormat="0" applyAlignment="0" applyProtection="0"/>
    <xf numFmtId="0" fontId="33" fillId="70" borderId="13" applyNumberFormat="0" applyAlignment="0" applyProtection="0"/>
    <xf numFmtId="0" fontId="33" fillId="70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70" borderId="13" applyNumberFormat="0" applyAlignment="0" applyProtection="0"/>
    <xf numFmtId="0" fontId="33" fillId="70" borderId="13" applyNumberFormat="0" applyAlignment="0" applyProtection="0"/>
    <xf numFmtId="0" fontId="33" fillId="70" borderId="13" applyNumberFormat="0" applyAlignment="0" applyProtection="0"/>
    <xf numFmtId="0" fontId="33" fillId="70" borderId="13" applyNumberFormat="0" applyAlignment="0" applyProtection="0"/>
    <xf numFmtId="0" fontId="33" fillId="70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70" borderId="13" applyNumberFormat="0" applyAlignment="0" applyProtection="0"/>
    <xf numFmtId="0" fontId="33" fillId="70" borderId="13" applyNumberFormat="0" applyAlignment="0" applyProtection="0"/>
    <xf numFmtId="0" fontId="33" fillId="70" borderId="13" applyNumberFormat="0" applyAlignment="0" applyProtection="0"/>
    <xf numFmtId="0" fontId="33" fillId="70" borderId="13" applyNumberFormat="0" applyAlignment="0" applyProtection="0"/>
    <xf numFmtId="0" fontId="33" fillId="70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70" borderId="13" applyNumberFormat="0" applyAlignment="0" applyProtection="0"/>
    <xf numFmtId="0" fontId="33" fillId="70" borderId="13" applyNumberFormat="0" applyAlignment="0" applyProtection="0"/>
    <xf numFmtId="0" fontId="33" fillId="70" borderId="13" applyNumberFormat="0" applyAlignment="0" applyProtection="0"/>
    <xf numFmtId="0" fontId="33" fillId="70" borderId="13" applyNumberFormat="0" applyAlignment="0" applyProtection="0"/>
    <xf numFmtId="0" fontId="33" fillId="70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36" borderId="13" applyNumberFormat="0" applyAlignment="0" applyProtection="0"/>
    <xf numFmtId="0" fontId="33" fillId="70" borderId="13" applyNumberFormat="0" applyAlignment="0" applyProtection="0"/>
    <xf numFmtId="0" fontId="33" fillId="70" borderId="13" applyNumberFormat="0" applyAlignment="0" applyProtection="0"/>
    <xf numFmtId="0" fontId="33" fillId="70" borderId="13" applyNumberFormat="0" applyAlignment="0" applyProtection="0"/>
    <xf numFmtId="0" fontId="33" fillId="70" borderId="13" applyNumberFormat="0" applyAlignment="0" applyProtection="0"/>
    <xf numFmtId="0" fontId="34" fillId="0" borderId="0"/>
    <xf numFmtId="0" fontId="34" fillId="0" borderId="0"/>
    <xf numFmtId="0" fontId="15" fillId="0" borderId="0"/>
    <xf numFmtId="0" fontId="15" fillId="0" borderId="0"/>
    <xf numFmtId="0" fontId="15" fillId="0" borderId="0"/>
    <xf numFmtId="0" fontId="30" fillId="36" borderId="0" applyBorder="0">
      <alignment horizontal="center"/>
    </xf>
    <xf numFmtId="0" fontId="35" fillId="71" borderId="14" applyNumberFormat="0" applyAlignment="0" applyProtection="0"/>
    <xf numFmtId="0" fontId="35" fillId="72" borderId="14" applyNumberFormat="0" applyAlignment="0" applyProtection="0"/>
    <xf numFmtId="0" fontId="35" fillId="51" borderId="14" applyNumberFormat="0" applyAlignment="0" applyProtection="0"/>
    <xf numFmtId="0" fontId="35" fillId="71" borderId="14" applyNumberFormat="0" applyAlignment="0" applyProtection="0"/>
    <xf numFmtId="0" fontId="35" fillId="72" borderId="14" applyNumberFormat="0" applyAlignment="0" applyProtection="0"/>
    <xf numFmtId="0" fontId="35" fillId="51" borderId="14" applyNumberFormat="0" applyAlignment="0" applyProtection="0"/>
    <xf numFmtId="0" fontId="35" fillId="71" borderId="14" applyNumberFormat="0" applyAlignment="0" applyProtection="0"/>
    <xf numFmtId="0" fontId="35" fillId="72" borderId="14" applyNumberFormat="0" applyAlignment="0" applyProtection="0"/>
    <xf numFmtId="0" fontId="35" fillId="51" borderId="14" applyNumberFormat="0" applyAlignment="0" applyProtection="0"/>
    <xf numFmtId="0" fontId="35" fillId="71" borderId="14" applyNumberFormat="0" applyAlignment="0" applyProtection="0"/>
    <xf numFmtId="0" fontId="35" fillId="72" borderId="14" applyNumberFormat="0" applyAlignment="0" applyProtection="0"/>
    <xf numFmtId="0" fontId="35" fillId="51" borderId="14" applyNumberFormat="0" applyAlignment="0" applyProtection="0"/>
    <xf numFmtId="0" fontId="35" fillId="51" borderId="14" applyNumberFormat="0" applyAlignment="0" applyProtection="0"/>
    <xf numFmtId="0" fontId="35" fillId="71" borderId="14" applyNumberFormat="0" applyAlignment="0" applyProtection="0"/>
    <xf numFmtId="0" fontId="35" fillId="72" borderId="14" applyNumberFormat="0" applyAlignment="0" applyProtection="0"/>
    <xf numFmtId="0" fontId="35" fillId="51" borderId="14" applyNumberFormat="0" applyAlignment="0" applyProtection="0"/>
    <xf numFmtId="0" fontId="35" fillId="51" borderId="14" applyNumberFormat="0" applyAlignment="0" applyProtection="0"/>
    <xf numFmtId="0" fontId="35" fillId="51" borderId="14" applyNumberFormat="0" applyAlignment="0" applyProtection="0"/>
    <xf numFmtId="0" fontId="35" fillId="71" borderId="14" applyNumberFormat="0" applyAlignment="0" applyProtection="0"/>
    <xf numFmtId="0" fontId="35" fillId="72" borderId="14" applyNumberFormat="0" applyAlignment="0" applyProtection="0"/>
    <xf numFmtId="0" fontId="35" fillId="51" borderId="14" applyNumberFormat="0" applyAlignment="0" applyProtection="0"/>
    <xf numFmtId="0" fontId="35" fillId="71" borderId="14" applyNumberFormat="0" applyAlignment="0" applyProtection="0"/>
    <xf numFmtId="0" fontId="35" fillId="72" borderId="14" applyNumberFormat="0" applyAlignment="0" applyProtection="0"/>
    <xf numFmtId="0" fontId="35" fillId="51" borderId="14" applyNumberFormat="0" applyAlignment="0" applyProtection="0"/>
    <xf numFmtId="0" fontId="35" fillId="71" borderId="14" applyNumberFormat="0" applyAlignment="0" applyProtection="0"/>
    <xf numFmtId="0" fontId="35" fillId="72" borderId="14" applyNumberFormat="0" applyAlignment="0" applyProtection="0"/>
    <xf numFmtId="0" fontId="35" fillId="51" borderId="14" applyNumberFormat="0" applyAlignment="0" applyProtection="0"/>
    <xf numFmtId="0" fontId="35" fillId="71" borderId="14" applyNumberFormat="0" applyAlignment="0" applyProtection="0"/>
    <xf numFmtId="0" fontId="35" fillId="72" borderId="14" applyNumberFormat="0" applyAlignment="0" applyProtection="0"/>
    <xf numFmtId="0" fontId="35" fillId="51" borderId="14" applyNumberFormat="0" applyAlignment="0" applyProtection="0"/>
    <xf numFmtId="0" fontId="35" fillId="71" borderId="14" applyNumberFormat="0" applyAlignment="0" applyProtection="0"/>
    <xf numFmtId="0" fontId="35" fillId="72" borderId="14" applyNumberFormat="0" applyAlignment="0" applyProtection="0"/>
    <xf numFmtId="0" fontId="35" fillId="51" borderId="14" applyNumberFormat="0" applyAlignment="0" applyProtection="0"/>
    <xf numFmtId="0" fontId="35" fillId="71" borderId="14" applyNumberFormat="0" applyAlignment="0" applyProtection="0"/>
    <xf numFmtId="0" fontId="35" fillId="72" borderId="14" applyNumberFormat="0" applyAlignment="0" applyProtection="0"/>
    <xf numFmtId="0" fontId="35" fillId="51" borderId="14" applyNumberFormat="0" applyAlignment="0" applyProtection="0"/>
    <xf numFmtId="0" fontId="35" fillId="71" borderId="14" applyNumberFormat="0" applyAlignment="0" applyProtection="0"/>
    <xf numFmtId="0" fontId="35" fillId="72" borderId="14" applyNumberFormat="0" applyAlignment="0" applyProtection="0"/>
    <xf numFmtId="0" fontId="35" fillId="51" borderId="14" applyNumberFormat="0" applyAlignment="0" applyProtection="0"/>
    <xf numFmtId="0" fontId="36" fillId="0" borderId="0"/>
    <xf numFmtId="0" fontId="36" fillId="0" borderId="0"/>
    <xf numFmtId="0" fontId="37" fillId="0" borderId="0"/>
    <xf numFmtId="192" fontId="13" fillId="0" borderId="0"/>
    <xf numFmtId="192" fontId="13" fillId="0" borderId="0"/>
    <xf numFmtId="192" fontId="13" fillId="0" borderId="0"/>
    <xf numFmtId="192" fontId="13" fillId="0" borderId="0"/>
    <xf numFmtId="192" fontId="13" fillId="0" borderId="0"/>
    <xf numFmtId="192" fontId="13" fillId="0" borderId="0"/>
    <xf numFmtId="192" fontId="13" fillId="0" borderId="0"/>
    <xf numFmtId="0" fontId="13" fillId="0" borderId="0" applyFill="0" applyBorder="0" applyAlignment="0" applyProtection="0"/>
    <xf numFmtId="0" fontId="13" fillId="0" borderId="0" applyFill="0" applyBorder="0" applyAlignment="0" applyProtection="0"/>
    <xf numFmtId="0" fontId="12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93" fontId="13" fillId="0" borderId="0" applyFill="0" applyBorder="0" applyAlignment="0" applyProtection="0"/>
    <xf numFmtId="193" fontId="13" fillId="0" borderId="0" applyFill="0" applyBorder="0" applyAlignment="0" applyProtection="0"/>
    <xf numFmtId="193" fontId="13" fillId="0" borderId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93" fontId="13" fillId="0" borderId="0" applyFill="0" applyBorder="0" applyAlignment="0" applyProtection="0"/>
    <xf numFmtId="193" fontId="13" fillId="0" borderId="0" applyFill="0" applyBorder="0" applyAlignment="0" applyProtection="0"/>
    <xf numFmtId="193" fontId="13" fillId="0" borderId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93" fontId="13" fillId="0" borderId="0" applyFill="0" applyBorder="0" applyAlignment="0" applyProtection="0"/>
    <xf numFmtId="193" fontId="13" fillId="0" borderId="0" applyFill="0" applyBorder="0" applyAlignment="0" applyProtection="0"/>
    <xf numFmtId="193" fontId="13" fillId="0" borderId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93" fontId="13" fillId="0" borderId="0" applyFill="0" applyBorder="0" applyAlignment="0" applyProtection="0"/>
    <xf numFmtId="193" fontId="13" fillId="0" borderId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193" fontId="12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0" fontId="13" fillId="0" borderId="0" applyFill="0" applyBorder="0" applyAlignment="0" applyProtection="0"/>
    <xf numFmtId="0" fontId="13" fillId="0" borderId="0" applyFill="0" applyBorder="0" applyAlignment="0" applyProtection="0"/>
    <xf numFmtId="194" fontId="38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195" fontId="13" fillId="0" borderId="0" applyFill="0" applyBorder="0" applyAlignment="0" applyProtection="0"/>
    <xf numFmtId="193" fontId="13" fillId="0" borderId="0" applyFill="0" applyBorder="0" applyAlignment="0" applyProtection="0"/>
    <xf numFmtId="193" fontId="13" fillId="0" borderId="0" applyFill="0" applyBorder="0" applyAlignment="0" applyProtection="0"/>
    <xf numFmtId="196" fontId="39" fillId="0" borderId="0" applyBorder="0" applyProtection="0"/>
    <xf numFmtId="43" fontId="13" fillId="0" borderId="0" applyFont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3" fillId="0" borderId="0" applyFont="0" applyFill="0" applyBorder="0" applyAlignment="0" applyProtection="0"/>
    <xf numFmtId="193" fontId="13" fillId="0" borderId="0" applyFill="0" applyBorder="0" applyAlignment="0" applyProtection="0"/>
    <xf numFmtId="193" fontId="13" fillId="0" borderId="0" applyFill="0" applyBorder="0" applyAlignment="0" applyProtection="0"/>
    <xf numFmtId="193" fontId="38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193" fontId="12" fillId="0" borderId="0" applyFill="0" applyBorder="0" applyAlignment="0" applyProtection="0"/>
    <xf numFmtId="43" fontId="13" fillId="0" borderId="0" applyFont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3" fillId="0" borderId="0" applyFont="0" applyFill="0" applyBorder="0" applyAlignment="0" applyProtection="0"/>
    <xf numFmtId="193" fontId="13" fillId="0" borderId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193" fontId="12" fillId="0" borderId="0" applyFill="0" applyBorder="0" applyAlignment="0" applyProtection="0"/>
    <xf numFmtId="43" fontId="13" fillId="0" borderId="0" applyFont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3" fillId="0" borderId="0" applyFont="0" applyFill="0" applyBorder="0" applyAlignment="0" applyProtection="0"/>
    <xf numFmtId="193" fontId="13" fillId="0" borderId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193" fontId="12" fillId="0" borderId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93" fontId="13" fillId="0" borderId="0" applyFill="0" applyBorder="0" applyAlignment="0" applyProtection="0"/>
    <xf numFmtId="193" fontId="13" fillId="0" borderId="0" applyFill="0" applyBorder="0" applyAlignment="0" applyProtection="0"/>
    <xf numFmtId="193" fontId="13" fillId="0" borderId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93" fontId="13" fillId="0" borderId="0" applyFill="0" applyBorder="0" applyAlignment="0" applyProtection="0"/>
    <xf numFmtId="193" fontId="13" fillId="0" borderId="0" applyFill="0" applyBorder="0" applyAlignment="0" applyProtection="0"/>
    <xf numFmtId="193" fontId="13" fillId="0" borderId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93" fontId="13" fillId="0" borderId="0" applyFill="0" applyBorder="0" applyAlignment="0" applyProtection="0"/>
    <xf numFmtId="193" fontId="13" fillId="0" borderId="0" applyFill="0" applyBorder="0" applyAlignment="0" applyProtection="0"/>
    <xf numFmtId="193" fontId="13" fillId="0" borderId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93" fontId="13" fillId="0" borderId="0" applyFill="0" applyBorder="0" applyAlignment="0" applyProtection="0"/>
    <xf numFmtId="193" fontId="13" fillId="0" borderId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93" fontId="13" fillId="0" borderId="0" applyFill="0" applyBorder="0" applyAlignment="0" applyProtection="0"/>
    <xf numFmtId="193" fontId="13" fillId="0" borderId="0" applyFill="0" applyBorder="0" applyAlignment="0" applyProtection="0"/>
    <xf numFmtId="193" fontId="13" fillId="0" borderId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93" fontId="13" fillId="0" borderId="0" applyFill="0" applyBorder="0" applyAlignment="0" applyProtection="0"/>
    <xf numFmtId="193" fontId="13" fillId="0" borderId="0" applyFill="0" applyBorder="0" applyAlignment="0" applyProtection="0"/>
    <xf numFmtId="193" fontId="13" fillId="0" borderId="0" applyFill="0" applyBorder="0" applyAlignment="0" applyProtection="0"/>
    <xf numFmtId="43" fontId="13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97" fontId="13" fillId="0" borderId="0" applyFill="0" applyBorder="0" applyProtection="0">
      <alignment vertical="center"/>
    </xf>
    <xf numFmtId="198" fontId="13" fillId="0" borderId="0" applyFill="0" applyBorder="0" applyProtection="0">
      <alignment vertical="center"/>
    </xf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4" fontId="13" fillId="0" borderId="0" applyFill="0" applyBorder="0" applyAlignment="0" applyProtection="0"/>
    <xf numFmtId="194" fontId="13" fillId="0" borderId="0" applyFill="0" applyBorder="0" applyAlignment="0" applyProtection="0"/>
    <xf numFmtId="199" fontId="39" fillId="0" borderId="0" applyBorder="0" applyProtection="0"/>
    <xf numFmtId="200" fontId="13" fillId="0" borderId="0" applyFont="0" applyFill="0" applyBorder="0" applyAlignment="0" applyProtection="0"/>
    <xf numFmtId="0" fontId="13" fillId="0" borderId="0" applyFill="0" applyBorder="0" applyAlignment="0" applyProtection="0"/>
    <xf numFmtId="0" fontId="13" fillId="0" borderId="0" applyFill="0" applyBorder="0" applyAlignment="0" applyProtection="0"/>
    <xf numFmtId="0" fontId="13" fillId="0" borderId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93" fontId="13" fillId="0" borderId="0" applyFill="0" applyBorder="0" applyAlignment="0" applyProtection="0"/>
    <xf numFmtId="193" fontId="13" fillId="0" borderId="0" applyFill="0" applyBorder="0" applyAlignment="0" applyProtection="0"/>
    <xf numFmtId="193" fontId="13" fillId="0" borderId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93" fontId="13" fillId="0" borderId="0" applyFill="0" applyBorder="0" applyAlignment="0" applyProtection="0"/>
    <xf numFmtId="193" fontId="13" fillId="0" borderId="0" applyFill="0" applyBorder="0" applyAlignment="0" applyProtection="0"/>
    <xf numFmtId="193" fontId="13" fillId="0" borderId="0" applyFill="0" applyBorder="0" applyAlignment="0" applyProtection="0"/>
    <xf numFmtId="43" fontId="13" fillId="0" borderId="0" applyFont="0" applyFill="0" applyBorder="0" applyAlignment="0" applyProtection="0"/>
    <xf numFmtId="193" fontId="13" fillId="0" borderId="0" applyFill="0" applyBorder="0" applyAlignment="0" applyProtection="0"/>
    <xf numFmtId="193" fontId="13" fillId="0" borderId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193" fontId="13" fillId="0" borderId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43" fontId="12" fillId="0" borderId="0" applyFont="0" applyFill="0" applyBorder="0" applyAlignment="0" applyProtection="0"/>
    <xf numFmtId="193" fontId="13" fillId="0" borderId="0" applyFill="0" applyBorder="0" applyAlignment="0" applyProtection="0"/>
    <xf numFmtId="3" fontId="40" fillId="0" borderId="0" applyFont="0" applyFill="0" applyBorder="0" applyAlignment="0" applyProtection="0"/>
    <xf numFmtId="3" fontId="13" fillId="0" borderId="0" applyFill="0" applyBorder="0" applyAlignment="0" applyProtection="0"/>
    <xf numFmtId="0" fontId="41" fillId="0" borderId="0" applyNumberFormat="0" applyAlignment="0"/>
    <xf numFmtId="0" fontId="41" fillId="0" borderId="0" applyNumberFormat="0" applyAlignment="0"/>
    <xf numFmtId="0" fontId="36" fillId="0" borderId="0"/>
    <xf numFmtId="0" fontId="36" fillId="0" borderId="0"/>
    <xf numFmtId="0" fontId="37" fillId="0" borderId="0"/>
    <xf numFmtId="0" fontId="36" fillId="0" borderId="0"/>
    <xf numFmtId="0" fontId="36" fillId="0" borderId="0"/>
    <xf numFmtId="0" fontId="37" fillId="0" borderId="0"/>
    <xf numFmtId="200" fontId="42" fillId="0" borderId="0">
      <alignment horizontal="center"/>
    </xf>
    <xf numFmtId="200" fontId="42" fillId="0" borderId="0">
      <alignment horizontal="center"/>
    </xf>
    <xf numFmtId="191" fontId="13" fillId="0" borderId="0" applyFill="0" applyBorder="0" applyAlignment="0" applyProtection="0"/>
    <xf numFmtId="191" fontId="13" fillId="0" borderId="0" applyFill="0" applyBorder="0" applyAlignment="0" applyProtection="0"/>
    <xf numFmtId="191" fontId="12" fillId="0" borderId="0" applyFill="0" applyBorder="0" applyAlignment="0" applyProtection="0"/>
    <xf numFmtId="182" fontId="13" fillId="0" borderId="0" applyFill="0" applyBorder="0" applyAlignment="0" applyProtection="0"/>
    <xf numFmtId="201" fontId="13" fillId="0" borderId="0" applyFill="0" applyBorder="0" applyProtection="0">
      <alignment vertical="center"/>
    </xf>
    <xf numFmtId="201" fontId="13" fillId="0" borderId="0" applyFill="0" applyBorder="0" applyProtection="0">
      <alignment vertical="center"/>
    </xf>
    <xf numFmtId="201" fontId="13" fillId="0" borderId="0" applyFill="0" applyBorder="0" applyProtection="0">
      <alignment vertical="center"/>
    </xf>
    <xf numFmtId="182" fontId="13" fillId="0" borderId="0" applyFill="0" applyBorder="0" applyAlignment="0" applyProtection="0"/>
    <xf numFmtId="202" fontId="13" fillId="0" borderId="0" applyFill="0" applyBorder="0" applyAlignment="0" applyProtection="0"/>
    <xf numFmtId="203" fontId="40" fillId="0" borderId="0" applyFont="0" applyFill="0" applyBorder="0" applyAlignment="0" applyProtection="0"/>
    <xf numFmtId="204" fontId="13" fillId="0" borderId="0" applyFill="0" applyBorder="0" applyAlignment="0" applyProtection="0"/>
    <xf numFmtId="205" fontId="13" fillId="36" borderId="0" applyBorder="0"/>
    <xf numFmtId="205" fontId="13" fillId="36" borderId="0" applyBorder="0"/>
    <xf numFmtId="205" fontId="12" fillId="36" borderId="0" applyBorder="0"/>
    <xf numFmtId="206" fontId="13" fillId="0" borderId="0" applyFill="0" applyBorder="0" applyAlignment="0" applyProtection="0"/>
    <xf numFmtId="0" fontId="43" fillId="73" borderId="0">
      <alignment horizontal="center"/>
    </xf>
    <xf numFmtId="0" fontId="44" fillId="16" borderId="1">
      <alignment horizontal="left" vertical="top" wrapText="1"/>
    </xf>
    <xf numFmtId="0" fontId="44" fillId="36" borderId="15">
      <alignment horizontal="left" vertical="top" wrapText="1"/>
    </xf>
    <xf numFmtId="0" fontId="44" fillId="36" borderId="15">
      <alignment horizontal="left" vertical="top" wrapText="1"/>
    </xf>
    <xf numFmtId="0" fontId="44" fillId="36" borderId="15">
      <alignment horizontal="left" vertical="top" wrapText="1"/>
    </xf>
    <xf numFmtId="0" fontId="44" fillId="36" borderId="15">
      <alignment horizontal="left" vertical="top" wrapText="1"/>
    </xf>
    <xf numFmtId="0" fontId="44" fillId="36" borderId="15">
      <alignment horizontal="left" vertical="top" wrapText="1"/>
    </xf>
    <xf numFmtId="0" fontId="44" fillId="16" borderId="1">
      <alignment horizontal="left" vertical="top" wrapText="1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207" fontId="45" fillId="0" borderId="0">
      <protection locked="0"/>
    </xf>
    <xf numFmtId="208" fontId="46" fillId="0" borderId="0">
      <protection locked="0"/>
    </xf>
    <xf numFmtId="208" fontId="46" fillId="0" borderId="0" applyBorder="0">
      <protection locked="0"/>
    </xf>
    <xf numFmtId="14" fontId="39" fillId="0" borderId="0" applyFill="0" applyBorder="0" applyAlignment="0"/>
    <xf numFmtId="15" fontId="47" fillId="0" borderId="0"/>
    <xf numFmtId="0" fontId="48" fillId="0" borderId="0" applyFont="0" applyFill="0" applyBorder="0" applyAlignment="0" applyProtection="0"/>
    <xf numFmtId="38" fontId="47" fillId="0" borderId="16">
      <alignment vertical="center"/>
    </xf>
    <xf numFmtId="38" fontId="47" fillId="0" borderId="17">
      <alignment vertical="center"/>
    </xf>
    <xf numFmtId="209" fontId="13" fillId="0" borderId="0" applyFill="0" applyBorder="0" applyAlignment="0" applyProtection="0"/>
    <xf numFmtId="193" fontId="13" fillId="0" borderId="0" applyFill="0" applyBorder="0" applyAlignment="0" applyProtection="0"/>
    <xf numFmtId="210" fontId="13" fillId="0" borderId="0" applyFont="0" applyFill="0" applyBorder="0" applyAlignment="0" applyProtection="0"/>
    <xf numFmtId="211" fontId="13" fillId="0" borderId="0" applyFont="0" applyFill="0" applyBorder="0" applyAlignment="0" applyProtection="0"/>
    <xf numFmtId="212" fontId="13" fillId="0" borderId="0" applyFill="0" applyBorder="0" applyAlignment="0" applyProtection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191" fontId="32" fillId="0" borderId="0" applyFill="0" applyBorder="0" applyAlignment="0"/>
    <xf numFmtId="191" fontId="32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213" fontId="32" fillId="0" borderId="0" applyFill="0" applyBorder="0" applyAlignment="0"/>
    <xf numFmtId="213" fontId="32" fillId="0" borderId="0" applyFill="0" applyBorder="0" applyAlignment="0"/>
    <xf numFmtId="191" fontId="32" fillId="0" borderId="0" applyFill="0" applyBorder="0" applyAlignment="0"/>
    <xf numFmtId="191" fontId="32" fillId="0" borderId="0" applyFill="0" applyBorder="0" applyAlignment="0"/>
    <xf numFmtId="0" fontId="49" fillId="0" borderId="0" applyNumberFormat="0" applyAlignment="0"/>
    <xf numFmtId="0" fontId="49" fillId="0" borderId="0" applyNumberFormat="0" applyAlignment="0"/>
    <xf numFmtId="0" fontId="13" fillId="0" borderId="0"/>
    <xf numFmtId="0" fontId="38" fillId="0" borderId="0"/>
    <xf numFmtId="0" fontId="118" fillId="0" borderId="0"/>
    <xf numFmtId="0" fontId="118" fillId="0" borderId="0"/>
    <xf numFmtId="0" fontId="8" fillId="0" borderId="0"/>
    <xf numFmtId="0" fontId="50" fillId="0" borderId="0"/>
    <xf numFmtId="0" fontId="12" fillId="0" borderId="0">
      <alignment horizontal="left"/>
    </xf>
    <xf numFmtId="0" fontId="12" fillId="0" borderId="0"/>
    <xf numFmtId="0" fontId="12" fillId="0" borderId="0"/>
    <xf numFmtId="0" fontId="51" fillId="0" borderId="0"/>
    <xf numFmtId="0" fontId="51" fillId="0" borderId="0">
      <alignment horizontal="left"/>
    </xf>
    <xf numFmtId="0" fontId="12" fillId="0" borderId="0"/>
    <xf numFmtId="0" fontId="51" fillId="0" borderId="0"/>
    <xf numFmtId="0" fontId="12" fillId="0" borderId="0"/>
    <xf numFmtId="0" fontId="50" fillId="0" borderId="0"/>
    <xf numFmtId="0" fontId="12" fillId="0" borderId="0"/>
    <xf numFmtId="9" fontId="52" fillId="0" borderId="0" applyBorder="0" applyProtection="0"/>
    <xf numFmtId="0" fontId="50" fillId="0" borderId="0" applyBorder="0" applyProtection="0">
      <alignment horizontal="left"/>
    </xf>
    <xf numFmtId="0" fontId="50" fillId="0" borderId="0" applyBorder="0" applyProtection="0"/>
    <xf numFmtId="0" fontId="50" fillId="0" borderId="0" applyBorder="0" applyProtection="0"/>
    <xf numFmtId="0" fontId="53" fillId="0" borderId="0" applyBorder="0" applyProtection="0"/>
    <xf numFmtId="0" fontId="53" fillId="0" borderId="0" applyBorder="0" applyProtection="0">
      <alignment horizontal="left"/>
    </xf>
    <xf numFmtId="0" fontId="50" fillId="0" borderId="0" applyBorder="0" applyProtection="0"/>
    <xf numFmtId="0" fontId="54" fillId="74" borderId="18" applyNumberFormat="0">
      <alignment horizontal="center"/>
      <protection locked="0"/>
    </xf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119" fillId="0" borderId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214" fontId="13" fillId="0" borderId="0">
      <protection locked="0"/>
    </xf>
    <xf numFmtId="214" fontId="13" fillId="0" borderId="0">
      <protection locked="0"/>
    </xf>
    <xf numFmtId="214" fontId="13" fillId="0" borderId="0">
      <protection locked="0"/>
    </xf>
    <xf numFmtId="214" fontId="13" fillId="0" borderId="0">
      <protection locked="0"/>
    </xf>
    <xf numFmtId="214" fontId="13" fillId="0" borderId="0">
      <protection locked="0"/>
    </xf>
    <xf numFmtId="214" fontId="13" fillId="0" borderId="0">
      <protection locked="0"/>
    </xf>
    <xf numFmtId="214" fontId="13" fillId="0" borderId="0">
      <protection locked="0"/>
    </xf>
    <xf numFmtId="2" fontId="48" fillId="0" borderId="0" applyFont="0" applyFill="0" applyBorder="0" applyAlignment="0" applyProtection="0"/>
    <xf numFmtId="195" fontId="45" fillId="0" borderId="0">
      <protection locked="0"/>
    </xf>
    <xf numFmtId="195" fontId="46" fillId="0" borderId="0">
      <protection locked="0"/>
    </xf>
    <xf numFmtId="195" fontId="46" fillId="0" borderId="0" applyBorder="0">
      <protection locked="0"/>
    </xf>
    <xf numFmtId="0" fontId="48" fillId="0" borderId="19" applyNumberFormat="0" applyFont="0" applyFill="0" applyAlignment="0" applyProtection="0"/>
    <xf numFmtId="0" fontId="13" fillId="0" borderId="0"/>
    <xf numFmtId="0" fontId="56" fillId="26" borderId="0" applyNumberFormat="0" applyBorder="0" applyAlignment="0" applyProtection="0"/>
    <xf numFmtId="0" fontId="56" fillId="27" borderId="0" applyNumberFormat="0" applyBorder="0" applyAlignment="0" applyProtection="0"/>
    <xf numFmtId="0" fontId="56" fillId="28" borderId="0" applyNumberFormat="0" applyBorder="0" applyAlignment="0" applyProtection="0"/>
    <xf numFmtId="0" fontId="56" fillId="26" borderId="0" applyNumberFormat="0" applyBorder="0" applyAlignment="0" applyProtection="0"/>
    <xf numFmtId="0" fontId="56" fillId="27" borderId="0" applyNumberFormat="0" applyBorder="0" applyAlignment="0" applyProtection="0"/>
    <xf numFmtId="0" fontId="56" fillId="28" borderId="0" applyNumberFormat="0" applyBorder="0" applyAlignment="0" applyProtection="0"/>
    <xf numFmtId="0" fontId="56" fillId="26" borderId="0" applyNumberFormat="0" applyBorder="0" applyAlignment="0" applyProtection="0"/>
    <xf numFmtId="0" fontId="56" fillId="27" borderId="0" applyNumberFormat="0" applyBorder="0" applyAlignment="0" applyProtection="0"/>
    <xf numFmtId="0" fontId="56" fillId="28" borderId="0" applyNumberFormat="0" applyBorder="0" applyAlignment="0" applyProtection="0"/>
    <xf numFmtId="0" fontId="56" fillId="26" borderId="0" applyNumberFormat="0" applyBorder="0" applyAlignment="0" applyProtection="0"/>
    <xf numFmtId="0" fontId="56" fillId="27" borderId="0" applyNumberFormat="0" applyBorder="0" applyAlignment="0" applyProtection="0"/>
    <xf numFmtId="0" fontId="56" fillId="28" borderId="0" applyNumberFormat="0" applyBorder="0" applyAlignment="0" applyProtection="0"/>
    <xf numFmtId="0" fontId="56" fillId="28" borderId="0" applyNumberFormat="0" applyBorder="0" applyAlignment="0" applyProtection="0"/>
    <xf numFmtId="0" fontId="56" fillId="26" borderId="0" applyNumberFormat="0" applyBorder="0" applyAlignment="0" applyProtection="0"/>
    <xf numFmtId="0" fontId="56" fillId="27" borderId="0" applyNumberFormat="0" applyBorder="0" applyAlignment="0" applyProtection="0"/>
    <xf numFmtId="0" fontId="56" fillId="28" borderId="0" applyNumberFormat="0" applyBorder="0" applyAlignment="0" applyProtection="0"/>
    <xf numFmtId="0" fontId="56" fillId="28" borderId="0" applyBorder="0" applyProtection="0"/>
    <xf numFmtId="0" fontId="56" fillId="28" borderId="0" applyNumberFormat="0" applyBorder="0" applyAlignment="0" applyProtection="0"/>
    <xf numFmtId="0" fontId="56" fillId="26" borderId="0" applyNumberFormat="0" applyBorder="0" applyAlignment="0" applyProtection="0"/>
    <xf numFmtId="0" fontId="56" fillId="27" borderId="0" applyNumberFormat="0" applyBorder="0" applyAlignment="0" applyProtection="0"/>
    <xf numFmtId="0" fontId="56" fillId="28" borderId="0" applyBorder="0" applyProtection="0"/>
    <xf numFmtId="0" fontId="56" fillId="26" borderId="0" applyNumberFormat="0" applyBorder="0" applyAlignment="0" applyProtection="0"/>
    <xf numFmtId="0" fontId="56" fillId="27" borderId="0" applyNumberFormat="0" applyBorder="0" applyAlignment="0" applyProtection="0"/>
    <xf numFmtId="0" fontId="56" fillId="28" borderId="0" applyNumberFormat="0" applyBorder="0" applyAlignment="0" applyProtection="0"/>
    <xf numFmtId="0" fontId="56" fillId="26" borderId="0" applyNumberFormat="0" applyBorder="0" applyAlignment="0" applyProtection="0"/>
    <xf numFmtId="0" fontId="56" fillId="27" borderId="0" applyNumberFormat="0" applyBorder="0" applyAlignment="0" applyProtection="0"/>
    <xf numFmtId="0" fontId="56" fillId="28" borderId="0" applyNumberFormat="0" applyBorder="0" applyAlignment="0" applyProtection="0"/>
    <xf numFmtId="0" fontId="56" fillId="26" borderId="0" applyNumberFormat="0" applyBorder="0" applyAlignment="0" applyProtection="0"/>
    <xf numFmtId="0" fontId="56" fillId="27" borderId="0" applyNumberFormat="0" applyBorder="0" applyAlignment="0" applyProtection="0"/>
    <xf numFmtId="0" fontId="56" fillId="28" borderId="0" applyNumberFormat="0" applyBorder="0" applyAlignment="0" applyProtection="0"/>
    <xf numFmtId="0" fontId="56" fillId="26" borderId="0" applyNumberFormat="0" applyBorder="0" applyAlignment="0" applyProtection="0"/>
    <xf numFmtId="0" fontId="56" fillId="27" borderId="0" applyNumberFormat="0" applyBorder="0" applyAlignment="0" applyProtection="0"/>
    <xf numFmtId="0" fontId="56" fillId="28" borderId="0" applyNumberFormat="0" applyBorder="0" applyAlignment="0" applyProtection="0"/>
    <xf numFmtId="0" fontId="56" fillId="26" borderId="0" applyNumberFormat="0" applyBorder="0" applyAlignment="0" applyProtection="0"/>
    <xf numFmtId="0" fontId="56" fillId="27" borderId="0" applyNumberFormat="0" applyBorder="0" applyAlignment="0" applyProtection="0"/>
    <xf numFmtId="0" fontId="56" fillId="28" borderId="0" applyNumberFormat="0" applyBorder="0" applyAlignment="0" applyProtection="0"/>
    <xf numFmtId="0" fontId="56" fillId="26" borderId="0" applyNumberFormat="0" applyBorder="0" applyAlignment="0" applyProtection="0"/>
    <xf numFmtId="0" fontId="56" fillId="27" borderId="0" applyNumberFormat="0" applyBorder="0" applyAlignment="0" applyProtection="0"/>
    <xf numFmtId="0" fontId="56" fillId="28" borderId="0" applyNumberFormat="0" applyBorder="0" applyAlignment="0" applyProtection="0"/>
    <xf numFmtId="38" fontId="20" fillId="75" borderId="0" applyNumberFormat="0" applyBorder="0" applyAlignment="0" applyProtection="0"/>
    <xf numFmtId="38" fontId="20" fillId="75" borderId="0" applyNumberFormat="0" applyBorder="0" applyAlignment="0" applyProtection="0"/>
    <xf numFmtId="0" fontId="20" fillId="76" borderId="0" applyNumberFormat="0" applyBorder="0" applyAlignment="0" applyProtection="0"/>
    <xf numFmtId="0" fontId="20" fillId="15" borderId="0" applyNumberFormat="0" applyBorder="0" applyAlignment="0" applyProtection="0"/>
    <xf numFmtId="0" fontId="20" fillId="36" borderId="0" applyNumberFormat="0" applyBorder="0" applyAlignment="0" applyProtection="0"/>
    <xf numFmtId="0" fontId="20" fillId="15" borderId="0" applyNumberFormat="0" applyBorder="0" applyAlignment="0" applyProtection="0"/>
    <xf numFmtId="0" fontId="20" fillId="36" borderId="0" applyNumberFormat="0" applyBorder="0" applyAlignment="0" applyProtection="0"/>
    <xf numFmtId="0" fontId="57" fillId="0" borderId="0">
      <alignment horizontal="left"/>
    </xf>
    <xf numFmtId="0" fontId="57" fillId="0" borderId="0">
      <alignment horizontal="left"/>
    </xf>
    <xf numFmtId="0" fontId="58" fillId="0" borderId="0">
      <alignment horizontal="left"/>
    </xf>
    <xf numFmtId="0" fontId="58" fillId="0" borderId="0">
      <alignment horizontal="left"/>
    </xf>
    <xf numFmtId="0" fontId="58" fillId="0" borderId="0">
      <alignment horizontal="left"/>
    </xf>
    <xf numFmtId="0" fontId="58" fillId="0" borderId="20" applyNumberFormat="0" applyAlignment="0" applyProtection="0">
      <alignment horizontal="left" vertical="center"/>
    </xf>
    <xf numFmtId="0" fontId="58" fillId="0" borderId="21" applyNumberFormat="0" applyAlignment="0" applyProtection="0"/>
    <xf numFmtId="0" fontId="59" fillId="0" borderId="21" applyProtection="0"/>
    <xf numFmtId="0" fontId="58" fillId="0" borderId="22">
      <alignment horizontal="left" vertical="center"/>
    </xf>
    <xf numFmtId="0" fontId="58" fillId="0" borderId="23">
      <alignment horizontal="left" vertical="center"/>
    </xf>
    <xf numFmtId="0" fontId="58" fillId="0" borderId="23">
      <alignment horizontal="left" vertical="center"/>
    </xf>
    <xf numFmtId="0" fontId="58" fillId="0" borderId="23">
      <alignment horizontal="left" vertical="center"/>
    </xf>
    <xf numFmtId="0" fontId="58" fillId="0" borderId="23">
      <alignment horizontal="left" vertical="center"/>
    </xf>
    <xf numFmtId="0" fontId="58" fillId="0" borderId="23">
      <alignment horizontal="left" vertical="center"/>
    </xf>
    <xf numFmtId="0" fontId="59" fillId="0" borderId="24" applyProtection="0">
      <alignment horizontal="left" vertical="center"/>
    </xf>
    <xf numFmtId="0" fontId="58" fillId="0" borderId="22">
      <alignment horizontal="left" vertical="center"/>
    </xf>
    <xf numFmtId="0" fontId="58" fillId="0" borderId="22">
      <alignment horizontal="left" vertical="center"/>
    </xf>
    <xf numFmtId="0" fontId="60" fillId="0" borderId="0">
      <alignment horizontal="center"/>
    </xf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2" fillId="0" borderId="26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3" fillId="0" borderId="27" applyNumberFormat="0" applyFill="0" applyAlignment="0" applyProtection="0"/>
    <xf numFmtId="0" fontId="63" fillId="0" borderId="27" applyNumberFormat="0" applyFill="0" applyAlignment="0" applyProtection="0"/>
    <xf numFmtId="0" fontId="63" fillId="0" borderId="27" applyNumberFormat="0" applyFill="0" applyAlignment="0" applyProtection="0"/>
    <xf numFmtId="0" fontId="63" fillId="0" borderId="27" applyNumberFormat="0" applyFill="0" applyAlignment="0" applyProtection="0"/>
    <xf numFmtId="0" fontId="64" fillId="0" borderId="28" applyNumberFormat="0" applyFill="0" applyAlignment="0" applyProtection="0"/>
    <xf numFmtId="0" fontId="63" fillId="0" borderId="27" applyNumberFormat="0" applyFill="0" applyAlignment="0" applyProtection="0"/>
    <xf numFmtId="0" fontId="63" fillId="0" borderId="27" applyNumberFormat="0" applyFill="0" applyAlignment="0" applyProtection="0"/>
    <xf numFmtId="0" fontId="63" fillId="0" borderId="27" applyNumberFormat="0" applyFill="0" applyAlignment="0" applyProtection="0"/>
    <xf numFmtId="0" fontId="63" fillId="0" borderId="27" applyNumberFormat="0" applyFill="0" applyAlignment="0" applyProtection="0"/>
    <xf numFmtId="0" fontId="63" fillId="0" borderId="27" applyNumberFormat="0" applyFill="0" applyAlignment="0" applyProtection="0"/>
    <xf numFmtId="0" fontId="63" fillId="0" borderId="27" applyNumberFormat="0" applyFill="0" applyAlignment="0" applyProtection="0"/>
    <xf numFmtId="0" fontId="63" fillId="0" borderId="27" applyNumberFormat="0" applyFill="0" applyAlignment="0" applyProtection="0"/>
    <xf numFmtId="0" fontId="63" fillId="0" borderId="27" applyNumberFormat="0" applyFill="0" applyAlignment="0" applyProtection="0"/>
    <xf numFmtId="0" fontId="63" fillId="0" borderId="27" applyNumberFormat="0" applyFill="0" applyAlignment="0" applyProtection="0"/>
    <xf numFmtId="0" fontId="63" fillId="0" borderId="27" applyNumberFormat="0" applyFill="0" applyAlignment="0" applyProtection="0"/>
    <xf numFmtId="0" fontId="65" fillId="0" borderId="29" applyNumberFormat="0" applyFill="0" applyAlignment="0" applyProtection="0"/>
    <xf numFmtId="0" fontId="65" fillId="0" borderId="29" applyNumberFormat="0" applyFill="0" applyAlignment="0" applyProtection="0"/>
    <xf numFmtId="0" fontId="65" fillId="0" borderId="29" applyNumberFormat="0" applyFill="0" applyAlignment="0" applyProtection="0"/>
    <xf numFmtId="0" fontId="65" fillId="0" borderId="29" applyNumberFormat="0" applyFill="0" applyAlignment="0" applyProtection="0"/>
    <xf numFmtId="0" fontId="66" fillId="0" borderId="30" applyNumberFormat="0" applyFill="0" applyAlignment="0" applyProtection="0"/>
    <xf numFmtId="0" fontId="65" fillId="0" borderId="29" applyNumberFormat="0" applyFill="0" applyAlignment="0" applyProtection="0"/>
    <xf numFmtId="0" fontId="65" fillId="0" borderId="29" applyNumberFormat="0" applyFill="0" applyAlignment="0" applyProtection="0"/>
    <xf numFmtId="0" fontId="65" fillId="0" borderId="29" applyNumberFormat="0" applyFill="0" applyAlignment="0" applyProtection="0"/>
    <xf numFmtId="0" fontId="65" fillId="0" borderId="29" applyNumberFormat="0" applyFill="0" applyAlignment="0" applyProtection="0"/>
    <xf numFmtId="0" fontId="65" fillId="0" borderId="29" applyNumberFormat="0" applyFill="0" applyAlignment="0" applyProtection="0"/>
    <xf numFmtId="0" fontId="65" fillId="0" borderId="29" applyNumberFormat="0" applyFill="0" applyAlignment="0" applyProtection="0"/>
    <xf numFmtId="0" fontId="65" fillId="0" borderId="29" applyNumberFormat="0" applyFill="0" applyAlignment="0" applyProtection="0"/>
    <xf numFmtId="0" fontId="65" fillId="0" borderId="29" applyNumberFormat="0" applyFill="0" applyAlignment="0" applyProtection="0"/>
    <xf numFmtId="0" fontId="65" fillId="0" borderId="29" applyNumberFormat="0" applyFill="0" applyAlignment="0" applyProtection="0"/>
    <xf numFmtId="0" fontId="65" fillId="0" borderId="29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0" fillId="0" borderId="0">
      <alignment horizontal="center"/>
    </xf>
    <xf numFmtId="0" fontId="60" fillId="0" borderId="0">
      <alignment horizontal="center"/>
    </xf>
    <xf numFmtId="215" fontId="67" fillId="0" borderId="0">
      <protection locked="0"/>
    </xf>
    <xf numFmtId="216" fontId="68" fillId="0" borderId="0">
      <protection locked="0"/>
    </xf>
    <xf numFmtId="216" fontId="68" fillId="0" borderId="0">
      <protection locked="0"/>
    </xf>
    <xf numFmtId="216" fontId="68" fillId="0" borderId="0">
      <protection locked="0"/>
    </xf>
    <xf numFmtId="216" fontId="68" fillId="0" borderId="0">
      <protection locked="0"/>
    </xf>
    <xf numFmtId="215" fontId="69" fillId="0" borderId="0">
      <protection locked="0"/>
    </xf>
    <xf numFmtId="215" fontId="69" fillId="0" borderId="0">
      <protection locked="0"/>
    </xf>
    <xf numFmtId="215" fontId="69" fillId="0" borderId="0">
      <protection locked="0"/>
    </xf>
    <xf numFmtId="215" fontId="69" fillId="0" borderId="0">
      <protection locked="0"/>
    </xf>
    <xf numFmtId="0" fontId="60" fillId="0" borderId="0">
      <alignment horizontal="center" textRotation="90"/>
    </xf>
    <xf numFmtId="0" fontId="60" fillId="0" borderId="0">
      <alignment horizontal="center" textRotation="90"/>
    </xf>
    <xf numFmtId="215" fontId="69" fillId="0" borderId="0">
      <protection locked="0"/>
    </xf>
    <xf numFmtId="216" fontId="68" fillId="0" borderId="0">
      <protection locked="0"/>
    </xf>
    <xf numFmtId="215" fontId="67" fillId="0" borderId="0">
      <protection locked="0"/>
    </xf>
    <xf numFmtId="215" fontId="69" fillId="0" borderId="0">
      <protection locked="0"/>
    </xf>
    <xf numFmtId="217" fontId="69" fillId="0" borderId="0" applyBorder="0">
      <protection locked="0"/>
    </xf>
    <xf numFmtId="0" fontId="120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Border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10" fontId="20" fillId="75" borderId="1" applyNumberFormat="0" applyBorder="0" applyAlignment="0" applyProtection="0"/>
    <xf numFmtId="10" fontId="20" fillId="75" borderId="1" applyNumberFormat="0" applyBorder="0" applyAlignment="0" applyProtection="0"/>
    <xf numFmtId="0" fontId="20" fillId="76" borderId="0" applyNumberFormat="0" applyBorder="0" applyAlignment="0" applyProtection="0"/>
    <xf numFmtId="0" fontId="20" fillId="15" borderId="0" applyNumberFormat="0" applyBorder="0" applyAlignment="0" applyProtection="0"/>
    <xf numFmtId="10" fontId="20" fillId="75" borderId="1" applyNumberFormat="0" applyBorder="0" applyAlignment="0" applyProtection="0"/>
    <xf numFmtId="0" fontId="20" fillId="77" borderId="0" applyNumberFormat="0" applyBorder="0" applyAlignment="0" applyProtection="0"/>
    <xf numFmtId="0" fontId="20" fillId="15" borderId="0" applyNumberFormat="0" applyBorder="0" applyAlignment="0" applyProtection="0"/>
    <xf numFmtId="10" fontId="20" fillId="75" borderId="1" applyNumberFormat="0" applyBorder="0" applyAlignment="0" applyProtection="0"/>
    <xf numFmtId="0" fontId="20" fillId="31" borderId="0" applyNumberFormat="0" applyBorder="0" applyAlignment="0" applyProtection="0"/>
    <xf numFmtId="0" fontId="73" fillId="34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34" borderId="13" applyNumberFormat="0" applyAlignment="0" applyProtection="0"/>
    <xf numFmtId="0" fontId="73" fillId="34" borderId="13" applyNumberFormat="0" applyAlignment="0" applyProtection="0"/>
    <xf numFmtId="0" fontId="73" fillId="34" borderId="13" applyNumberFormat="0" applyAlignment="0" applyProtection="0"/>
    <xf numFmtId="0" fontId="73" fillId="34" borderId="13" applyNumberFormat="0" applyAlignment="0" applyProtection="0"/>
    <xf numFmtId="0" fontId="73" fillId="34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34" borderId="13" applyNumberFormat="0" applyAlignment="0" applyProtection="0"/>
    <xf numFmtId="0" fontId="73" fillId="34" borderId="13" applyNumberFormat="0" applyAlignment="0" applyProtection="0"/>
    <xf numFmtId="0" fontId="73" fillId="34" borderId="13" applyNumberFormat="0" applyAlignment="0" applyProtection="0"/>
    <xf numFmtId="0" fontId="73" fillId="34" borderId="13" applyNumberFormat="0" applyAlignment="0" applyProtection="0"/>
    <xf numFmtId="0" fontId="73" fillId="34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34" borderId="13" applyNumberFormat="0" applyAlignment="0" applyProtection="0"/>
    <xf numFmtId="0" fontId="73" fillId="34" borderId="13" applyNumberFormat="0" applyAlignment="0" applyProtection="0"/>
    <xf numFmtId="0" fontId="73" fillId="34" borderId="13" applyNumberFormat="0" applyAlignment="0" applyProtection="0"/>
    <xf numFmtId="0" fontId="73" fillId="34" borderId="13" applyNumberFormat="0" applyAlignment="0" applyProtection="0"/>
    <xf numFmtId="0" fontId="73" fillId="34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34" borderId="13" applyNumberFormat="0" applyAlignment="0" applyProtection="0"/>
    <xf numFmtId="0" fontId="73" fillId="34" borderId="13" applyNumberFormat="0" applyAlignment="0" applyProtection="0"/>
    <xf numFmtId="0" fontId="73" fillId="34" borderId="13" applyNumberFormat="0" applyAlignment="0" applyProtection="0"/>
    <xf numFmtId="0" fontId="73" fillId="34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34" borderId="13" applyNumberFormat="0" applyAlignment="0" applyProtection="0"/>
    <xf numFmtId="0" fontId="73" fillId="37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37" borderId="13" applyNumberFormat="0" applyAlignment="0" applyProtection="0"/>
    <xf numFmtId="0" fontId="73" fillId="37" borderId="13" applyNumberFormat="0" applyAlignment="0" applyProtection="0"/>
    <xf numFmtId="0" fontId="73" fillId="37" borderId="13" applyNumberFormat="0" applyAlignment="0" applyProtection="0"/>
    <xf numFmtId="0" fontId="73" fillId="37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34" borderId="13" applyNumberFormat="0" applyAlignment="0" applyProtection="0"/>
    <xf numFmtId="0" fontId="73" fillId="34" borderId="13" applyNumberFormat="0" applyAlignment="0" applyProtection="0"/>
    <xf numFmtId="0" fontId="73" fillId="34" borderId="13" applyNumberFormat="0" applyAlignment="0" applyProtection="0"/>
    <xf numFmtId="0" fontId="73" fillId="34" borderId="13" applyNumberFormat="0" applyAlignment="0" applyProtection="0"/>
    <xf numFmtId="0" fontId="73" fillId="25" borderId="13" applyNumberFormat="0" applyAlignment="0" applyProtection="0"/>
    <xf numFmtId="0" fontId="73" fillId="34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34" borderId="13" applyNumberFormat="0" applyAlignment="0" applyProtection="0"/>
    <xf numFmtId="0" fontId="73" fillId="34" borderId="13" applyNumberFormat="0" applyAlignment="0" applyProtection="0"/>
    <xf numFmtId="0" fontId="73" fillId="34" borderId="13" applyNumberFormat="0" applyAlignment="0" applyProtection="0"/>
    <xf numFmtId="0" fontId="73" fillId="34" borderId="13" applyNumberFormat="0" applyAlignment="0" applyProtection="0"/>
    <xf numFmtId="0" fontId="73" fillId="34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34" borderId="13" applyNumberFormat="0" applyAlignment="0" applyProtection="0"/>
    <xf numFmtId="0" fontId="73" fillId="34" borderId="13" applyNumberFormat="0" applyAlignment="0" applyProtection="0"/>
    <xf numFmtId="0" fontId="73" fillId="34" borderId="13" applyNumberFormat="0" applyAlignment="0" applyProtection="0"/>
    <xf numFmtId="0" fontId="73" fillId="34" borderId="13" applyNumberFormat="0" applyAlignment="0" applyProtection="0"/>
    <xf numFmtId="0" fontId="73" fillId="34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34" borderId="13" applyNumberFormat="0" applyAlignment="0" applyProtection="0"/>
    <xf numFmtId="0" fontId="73" fillId="34" borderId="13" applyNumberFormat="0" applyAlignment="0" applyProtection="0"/>
    <xf numFmtId="0" fontId="73" fillId="34" borderId="13" applyNumberFormat="0" applyAlignment="0" applyProtection="0"/>
    <xf numFmtId="0" fontId="73" fillId="34" borderId="13" applyNumberFormat="0" applyAlignment="0" applyProtection="0"/>
    <xf numFmtId="0" fontId="73" fillId="34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34" borderId="13" applyNumberFormat="0" applyAlignment="0" applyProtection="0"/>
    <xf numFmtId="0" fontId="73" fillId="34" borderId="13" applyNumberFormat="0" applyAlignment="0" applyProtection="0"/>
    <xf numFmtId="0" fontId="73" fillId="34" borderId="13" applyNumberFormat="0" applyAlignment="0" applyProtection="0"/>
    <xf numFmtId="0" fontId="73" fillId="34" borderId="13" applyNumberFormat="0" applyAlignment="0" applyProtection="0"/>
    <xf numFmtId="0" fontId="73" fillId="34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34" borderId="13" applyNumberFormat="0" applyAlignment="0" applyProtection="0"/>
    <xf numFmtId="0" fontId="73" fillId="34" borderId="13" applyNumberFormat="0" applyAlignment="0" applyProtection="0"/>
    <xf numFmtId="0" fontId="73" fillId="34" borderId="13" applyNumberFormat="0" applyAlignment="0" applyProtection="0"/>
    <xf numFmtId="0" fontId="73" fillId="34" borderId="13" applyNumberFormat="0" applyAlignment="0" applyProtection="0"/>
    <xf numFmtId="0" fontId="73" fillId="34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34" borderId="13" applyNumberFormat="0" applyAlignment="0" applyProtection="0"/>
    <xf numFmtId="0" fontId="73" fillId="34" borderId="13" applyNumberFormat="0" applyAlignment="0" applyProtection="0"/>
    <xf numFmtId="0" fontId="73" fillId="34" borderId="13" applyNumberFormat="0" applyAlignment="0" applyProtection="0"/>
    <xf numFmtId="0" fontId="73" fillId="34" borderId="13" applyNumberFormat="0" applyAlignment="0" applyProtection="0"/>
    <xf numFmtId="0" fontId="73" fillId="34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3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25" borderId="13" applyNumberFormat="0" applyAlignment="0" applyProtection="0"/>
    <xf numFmtId="0" fontId="73" fillId="34" borderId="13" applyNumberFormat="0" applyAlignment="0" applyProtection="0"/>
    <xf numFmtId="0" fontId="73" fillId="34" borderId="13" applyNumberFormat="0" applyAlignment="0" applyProtection="0"/>
    <xf numFmtId="0" fontId="73" fillId="34" borderId="13" applyNumberFormat="0" applyAlignment="0" applyProtection="0"/>
    <xf numFmtId="0" fontId="73" fillId="34" borderId="13" applyNumberFormat="0" applyAlignment="0" applyProtection="0"/>
    <xf numFmtId="0" fontId="74" fillId="0" borderId="0" applyNumberFormat="0" applyFill="0" applyBorder="0" applyProtection="0">
      <alignment horizontal="left"/>
    </xf>
    <xf numFmtId="3" fontId="48" fillId="0" borderId="0" applyFont="0" applyFill="0" applyBorder="0" applyAlignment="0" applyProtection="0"/>
    <xf numFmtId="0" fontId="13" fillId="44" borderId="18" applyNumberFormat="0" applyProtection="0">
      <alignment horizontal="center"/>
    </xf>
    <xf numFmtId="0" fontId="13" fillId="45" borderId="18" applyNumberFormat="0" applyProtection="0">
      <alignment horizontal="center"/>
    </xf>
    <xf numFmtId="0" fontId="75" fillId="78" borderId="18" applyNumberFormat="0">
      <alignment horizontal="center"/>
      <protection locked="0"/>
    </xf>
    <xf numFmtId="0" fontId="76" fillId="79" borderId="18" applyNumberFormat="0">
      <alignment horizontal="center"/>
      <protection locked="0"/>
    </xf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191" fontId="32" fillId="0" borderId="0" applyFill="0" applyBorder="0" applyAlignment="0"/>
    <xf numFmtId="191" fontId="32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213" fontId="32" fillId="0" borderId="0" applyFill="0" applyBorder="0" applyAlignment="0"/>
    <xf numFmtId="213" fontId="32" fillId="0" borderId="0" applyFill="0" applyBorder="0" applyAlignment="0"/>
    <xf numFmtId="191" fontId="32" fillId="0" borderId="0" applyFill="0" applyBorder="0" applyAlignment="0"/>
    <xf numFmtId="191" fontId="32" fillId="0" borderId="0" applyFill="0" applyBorder="0" applyAlignment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218" fontId="23" fillId="36" borderId="32">
      <alignment horizontal="left"/>
    </xf>
    <xf numFmtId="218" fontId="23" fillId="36" borderId="32">
      <alignment horizontal="left"/>
    </xf>
    <xf numFmtId="218" fontId="23" fillId="36" borderId="32">
      <alignment horizontal="left"/>
    </xf>
    <xf numFmtId="218" fontId="23" fillId="36" borderId="32">
      <alignment horizontal="left"/>
    </xf>
    <xf numFmtId="218" fontId="23" fillId="36" borderId="32">
      <alignment horizontal="left"/>
    </xf>
    <xf numFmtId="0" fontId="30" fillId="80" borderId="0"/>
    <xf numFmtId="169" fontId="13" fillId="0" borderId="0" applyFill="0" applyBorder="0" applyAlignment="0" applyProtection="0"/>
    <xf numFmtId="219" fontId="13" fillId="0" borderId="0" applyFill="0" applyBorder="0" applyAlignment="0" applyProtection="0"/>
    <xf numFmtId="220" fontId="13" fillId="0" borderId="0" applyFont="0" applyFill="0" applyBorder="0" applyAlignment="0" applyProtection="0"/>
    <xf numFmtId="221" fontId="13" fillId="0" borderId="0" applyFont="0" applyFill="0" applyBorder="0" applyAlignment="0" applyProtection="0"/>
    <xf numFmtId="0" fontId="78" fillId="0" borderId="33"/>
    <xf numFmtId="0" fontId="78" fillId="0" borderId="33"/>
    <xf numFmtId="0" fontId="79" fillId="0" borderId="34"/>
    <xf numFmtId="0" fontId="79" fillId="0" borderId="34"/>
    <xf numFmtId="0" fontId="79" fillId="0" borderId="34"/>
    <xf numFmtId="165" fontId="80" fillId="0" borderId="0" applyFont="0" applyFill="0" applyBorder="0" applyAlignment="0" applyProtection="0"/>
    <xf numFmtId="164" fontId="47" fillId="0" borderId="0" applyFont="0" applyFill="0" applyBorder="0" applyAlignment="0" applyProtection="0"/>
    <xf numFmtId="222" fontId="13" fillId="0" borderId="0" applyFill="0" applyBorder="0" applyAlignment="0" applyProtection="0"/>
    <xf numFmtId="223" fontId="13" fillId="0" borderId="0" applyFill="0" applyBorder="0" applyAlignment="0" applyProtection="0"/>
    <xf numFmtId="224" fontId="13" fillId="0" borderId="0" applyFont="0" applyFill="0" applyBorder="0" applyAlignment="0" applyProtection="0"/>
    <xf numFmtId="225" fontId="13" fillId="0" borderId="0" applyFont="0" applyFill="0" applyBorder="0" applyAlignment="0" applyProtection="0"/>
    <xf numFmtId="0" fontId="81" fillId="81" borderId="1" applyNumberFormat="0" applyFill="0" applyBorder="0" applyAlignment="0">
      <alignment horizontal="center" vertical="center"/>
    </xf>
    <xf numFmtId="0" fontId="81" fillId="0" borderId="0" applyNumberFormat="0" applyFill="0" applyBorder="0" applyAlignment="0"/>
    <xf numFmtId="0" fontId="81" fillId="81" borderId="1" applyNumberFormat="0" applyFill="0" applyBorder="0" applyAlignment="0">
      <alignment horizontal="center" vertical="center"/>
    </xf>
    <xf numFmtId="0" fontId="82" fillId="82" borderId="0" applyNumberFormat="0" applyBorder="0" applyAlignment="0" applyProtection="0"/>
    <xf numFmtId="0" fontId="82" fillId="54" borderId="0" applyNumberFormat="0" applyBorder="0" applyAlignment="0" applyProtection="0"/>
    <xf numFmtId="0" fontId="82" fillId="82" borderId="0" applyNumberFormat="0" applyBorder="0" applyAlignment="0" applyProtection="0"/>
    <xf numFmtId="0" fontId="82" fillId="54" borderId="0" applyNumberFormat="0" applyBorder="0" applyAlignment="0" applyProtection="0"/>
    <xf numFmtId="0" fontId="82" fillId="82" borderId="0" applyNumberFormat="0" applyBorder="0" applyAlignment="0" applyProtection="0"/>
    <xf numFmtId="0" fontId="82" fillId="54" borderId="0" applyNumberFormat="0" applyBorder="0" applyAlignment="0" applyProtection="0"/>
    <xf numFmtId="0" fontId="82" fillId="82" borderId="0" applyNumberFormat="0" applyBorder="0" applyAlignment="0" applyProtection="0"/>
    <xf numFmtId="0" fontId="82" fillId="54" borderId="0" applyNumberFormat="0" applyBorder="0" applyAlignment="0" applyProtection="0"/>
    <xf numFmtId="0" fontId="82" fillId="25" borderId="0" applyNumberFormat="0" applyBorder="0" applyAlignment="0" applyProtection="0"/>
    <xf numFmtId="0" fontId="82" fillId="82" borderId="0" applyNumberFormat="0" applyBorder="0" applyAlignment="0" applyProtection="0"/>
    <xf numFmtId="0" fontId="82" fillId="54" borderId="0" applyNumberFormat="0" applyBorder="0" applyAlignment="0" applyProtection="0"/>
    <xf numFmtId="0" fontId="82" fillId="54" borderId="0" applyNumberFormat="0" applyBorder="0" applyAlignment="0" applyProtection="0"/>
    <xf numFmtId="0" fontId="82" fillId="82" borderId="0" applyNumberFormat="0" applyBorder="0" applyAlignment="0" applyProtection="0"/>
    <xf numFmtId="0" fontId="82" fillId="54" borderId="0" applyNumberFormat="0" applyBorder="0" applyAlignment="0" applyProtection="0"/>
    <xf numFmtId="0" fontId="82" fillId="82" borderId="0" applyNumberFormat="0" applyBorder="0" applyAlignment="0" applyProtection="0"/>
    <xf numFmtId="0" fontId="82" fillId="54" borderId="0" applyNumberFormat="0" applyBorder="0" applyAlignment="0" applyProtection="0"/>
    <xf numFmtId="0" fontId="82" fillId="82" borderId="0" applyNumberFormat="0" applyBorder="0" applyAlignment="0" applyProtection="0"/>
    <xf numFmtId="0" fontId="82" fillId="54" borderId="0" applyNumberFormat="0" applyBorder="0" applyAlignment="0" applyProtection="0"/>
    <xf numFmtId="0" fontId="82" fillId="82" borderId="0" applyNumberFormat="0" applyBorder="0" applyAlignment="0" applyProtection="0"/>
    <xf numFmtId="0" fontId="82" fillId="54" borderId="0" applyNumberFormat="0" applyBorder="0" applyAlignment="0" applyProtection="0"/>
    <xf numFmtId="0" fontId="82" fillId="82" borderId="0" applyNumberFormat="0" applyBorder="0" applyAlignment="0" applyProtection="0"/>
    <xf numFmtId="0" fontId="82" fillId="54" borderId="0" applyNumberFormat="0" applyBorder="0" applyAlignment="0" applyProtection="0"/>
    <xf numFmtId="0" fontId="82" fillId="82" borderId="0" applyNumberFormat="0" applyBorder="0" applyAlignment="0" applyProtection="0"/>
    <xf numFmtId="0" fontId="82" fillId="54" borderId="0" applyNumberFormat="0" applyBorder="0" applyAlignment="0" applyProtection="0"/>
    <xf numFmtId="0" fontId="82" fillId="82" borderId="0" applyNumberFormat="0" applyBorder="0" applyAlignment="0" applyProtection="0"/>
    <xf numFmtId="0" fontId="82" fillId="54" borderId="0" applyNumberFormat="0" applyBorder="0" applyAlignment="0" applyProtection="0"/>
    <xf numFmtId="0" fontId="80" fillId="0" borderId="0"/>
    <xf numFmtId="0" fontId="80" fillId="0" borderId="0"/>
    <xf numFmtId="37" fontId="83" fillId="0" borderId="0"/>
    <xf numFmtId="0" fontId="13" fillId="0" borderId="0"/>
    <xf numFmtId="0" fontId="13" fillId="0" borderId="0"/>
    <xf numFmtId="0" fontId="13" fillId="0" borderId="0"/>
    <xf numFmtId="172" fontId="23" fillId="0" borderId="0"/>
    <xf numFmtId="0" fontId="36" fillId="0" borderId="0"/>
    <xf numFmtId="0" fontId="36" fillId="0" borderId="0"/>
    <xf numFmtId="0" fontId="3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>
      <alignment wrapText="1"/>
    </xf>
    <xf numFmtId="0" fontId="13" fillId="0" borderId="0">
      <alignment wrapText="1"/>
    </xf>
    <xf numFmtId="0" fontId="39" fillId="0" borderId="0" applyBorder="0" applyProtection="0">
      <alignment wrapText="1"/>
    </xf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39" fillId="0" borderId="0" applyBorder="0" applyProtection="0"/>
    <xf numFmtId="0" fontId="13" fillId="0" borderId="0"/>
    <xf numFmtId="0" fontId="13" fillId="0" borderId="0"/>
    <xf numFmtId="0" fontId="13" fillId="0" borderId="0"/>
    <xf numFmtId="0" fontId="39" fillId="0" borderId="0" applyBorder="0" applyProtection="0">
      <alignment wrapText="1"/>
    </xf>
    <xf numFmtId="0" fontId="13" fillId="0" borderId="0"/>
    <xf numFmtId="0" fontId="13" fillId="0" borderId="0"/>
    <xf numFmtId="0" fontId="13" fillId="0" borderId="0"/>
    <xf numFmtId="0" fontId="39" fillId="0" borderId="0" applyBorder="0" applyProtection="0">
      <alignment wrapText="1"/>
    </xf>
    <xf numFmtId="0" fontId="12" fillId="0" borderId="0"/>
    <xf numFmtId="0" fontId="12" fillId="0" borderId="0"/>
    <xf numFmtId="0" fontId="12" fillId="0" borderId="0"/>
    <xf numFmtId="0" fontId="39" fillId="0" borderId="0" applyBorder="0" applyProtection="0"/>
    <xf numFmtId="0" fontId="12" fillId="0" borderId="0"/>
    <xf numFmtId="0" fontId="16" fillId="0" borderId="0"/>
    <xf numFmtId="0" fontId="86" fillId="0" borderId="0">
      <alignment horizontal="center" vertical="center"/>
    </xf>
    <xf numFmtId="0" fontId="12" fillId="0" borderId="0"/>
    <xf numFmtId="0" fontId="86" fillId="0" borderId="0">
      <alignment horizontal="center" vertical="center"/>
    </xf>
    <xf numFmtId="0" fontId="12" fillId="0" borderId="0" applyBorder="0" applyProtection="0"/>
    <xf numFmtId="0" fontId="12" fillId="0" borderId="0" applyBorder="0" applyProtection="0"/>
    <xf numFmtId="0" fontId="12" fillId="0" borderId="0"/>
    <xf numFmtId="0" fontId="16" fillId="0" borderId="0"/>
    <xf numFmtId="0" fontId="16" fillId="0" borderId="0"/>
    <xf numFmtId="0" fontId="39" fillId="0" borderId="0" applyBorder="0" applyProtection="0">
      <alignment wrapText="1"/>
    </xf>
    <xf numFmtId="0" fontId="12" fillId="0" borderId="0"/>
    <xf numFmtId="0" fontId="86" fillId="0" borderId="0">
      <alignment horizontal="center" vertical="center"/>
    </xf>
    <xf numFmtId="0" fontId="86" fillId="0" borderId="0">
      <alignment horizontal="center" vertical="center"/>
    </xf>
    <xf numFmtId="0" fontId="39" fillId="0" borderId="0" applyBorder="0" applyProtection="0">
      <alignment wrapText="1"/>
    </xf>
    <xf numFmtId="0" fontId="12" fillId="0" borderId="0"/>
    <xf numFmtId="0" fontId="85" fillId="0" borderId="0"/>
    <xf numFmtId="0" fontId="39" fillId="0" borderId="0" applyBorder="0" applyProtection="0">
      <alignment wrapText="1"/>
    </xf>
    <xf numFmtId="0" fontId="87" fillId="0" borderId="0"/>
    <xf numFmtId="0" fontId="87" fillId="0" borderId="0"/>
    <xf numFmtId="0" fontId="9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87" fillId="0" borderId="0" applyBorder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39" fillId="0" borderId="0" applyBorder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39" fillId="0" borderId="0" applyBorder="0" applyProtection="0"/>
    <xf numFmtId="0" fontId="13" fillId="0" borderId="0"/>
    <xf numFmtId="0" fontId="50" fillId="0" borderId="0"/>
    <xf numFmtId="0" fontId="9" fillId="0" borderId="0"/>
    <xf numFmtId="0" fontId="39" fillId="0" borderId="0"/>
    <xf numFmtId="0" fontId="39" fillId="0" borderId="0" applyBorder="0" applyProtection="0"/>
    <xf numFmtId="0" fontId="13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0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>
      <alignment vertical="top"/>
    </xf>
    <xf numFmtId="0" fontId="122" fillId="0" borderId="0"/>
    <xf numFmtId="0" fontId="12" fillId="0" borderId="0"/>
    <xf numFmtId="0" fontId="38" fillId="0" borderId="0">
      <alignment vertical="center"/>
    </xf>
    <xf numFmtId="0" fontId="12" fillId="0" borderId="0"/>
    <xf numFmtId="0" fontId="9" fillId="0" borderId="0"/>
    <xf numFmtId="0" fontId="50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88" fillId="0" borderId="0">
      <alignment vertical="center"/>
    </xf>
    <xf numFmtId="0" fontId="13" fillId="0" borderId="0"/>
    <xf numFmtId="0" fontId="52" fillId="0" borderId="0"/>
    <xf numFmtId="0" fontId="13" fillId="0" borderId="0"/>
    <xf numFmtId="0" fontId="13" fillId="0" borderId="0"/>
    <xf numFmtId="0" fontId="13" fillId="0" borderId="0"/>
    <xf numFmtId="0" fontId="50" fillId="0" borderId="0"/>
    <xf numFmtId="0" fontId="13" fillId="0" borderId="0"/>
    <xf numFmtId="0" fontId="9" fillId="0" borderId="0"/>
    <xf numFmtId="0" fontId="12" fillId="0" borderId="0"/>
    <xf numFmtId="0" fontId="39" fillId="0" borderId="0" applyBorder="0" applyProtection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39" fillId="0" borderId="0" applyBorder="0" applyProtection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39" fillId="0" borderId="0" applyBorder="0" applyProtection="0"/>
    <xf numFmtId="0" fontId="9" fillId="0" borderId="0"/>
    <xf numFmtId="0" fontId="13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39" fillId="0" borderId="0" applyBorder="0" applyProtection="0"/>
    <xf numFmtId="0" fontId="9" fillId="0" borderId="0"/>
    <xf numFmtId="0" fontId="12" fillId="0" borderId="0"/>
    <xf numFmtId="0" fontId="13" fillId="0" borderId="0"/>
    <xf numFmtId="0" fontId="3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86" fillId="0" borderId="0">
      <alignment horizontal="center" vertical="center"/>
    </xf>
    <xf numFmtId="0" fontId="39" fillId="0" borderId="0" applyBorder="0" applyProtection="0"/>
    <xf numFmtId="0" fontId="13" fillId="0" borderId="0"/>
    <xf numFmtId="0" fontId="13" fillId="0" borderId="0"/>
    <xf numFmtId="0" fontId="13" fillId="0" borderId="0"/>
    <xf numFmtId="0" fontId="87" fillId="0" borderId="0"/>
    <xf numFmtId="0" fontId="13" fillId="0" borderId="0"/>
    <xf numFmtId="0" fontId="39" fillId="0" borderId="0" applyBorder="0" applyProtection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39" fillId="0" borderId="0" applyBorder="0" applyProtection="0">
      <alignment wrapText="1"/>
    </xf>
    <xf numFmtId="0" fontId="12" fillId="0" borderId="0"/>
    <xf numFmtId="0" fontId="12" fillId="0" borderId="0"/>
    <xf numFmtId="0" fontId="119" fillId="0" borderId="0"/>
    <xf numFmtId="0" fontId="13" fillId="0" borderId="0"/>
    <xf numFmtId="0" fontId="39" fillId="0" borderId="0" applyBorder="0" applyProtection="0">
      <alignment wrapText="1"/>
    </xf>
    <xf numFmtId="0" fontId="13" fillId="0" borderId="0"/>
    <xf numFmtId="0" fontId="13" fillId="0" borderId="0"/>
    <xf numFmtId="0" fontId="13" fillId="0" borderId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31" borderId="35" applyNumberForma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31" borderId="35" applyNumberForma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31" borderId="35" applyNumberForma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31" borderId="35" applyNumberFormat="0" applyAlignment="0" applyProtection="0"/>
    <xf numFmtId="0" fontId="13" fillId="0" borderId="0"/>
    <xf numFmtId="0" fontId="13" fillId="0" borderId="0"/>
    <xf numFmtId="0" fontId="12" fillId="7" borderId="10" applyNumberFormat="0" applyFont="0" applyAlignment="0" applyProtection="0"/>
    <xf numFmtId="0" fontId="12" fillId="7" borderId="10" applyNumberFormat="0" applyFont="0" applyAlignment="0" applyProtection="0"/>
    <xf numFmtId="0" fontId="13" fillId="77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83" borderId="35" applyNumberFormat="0" applyFon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38" fillId="31" borderId="35" applyNumberFormat="0" applyAlignment="0" applyProtection="0"/>
    <xf numFmtId="0" fontId="38" fillId="31" borderId="35" applyNumberFormat="0" applyAlignment="0" applyProtection="0"/>
    <xf numFmtId="0" fontId="38" fillId="31" borderId="35" applyNumberFormat="0" applyAlignment="0" applyProtection="0"/>
    <xf numFmtId="0" fontId="38" fillId="31" borderId="35" applyNumberFormat="0" applyAlignment="0" applyProtection="0"/>
    <xf numFmtId="0" fontId="38" fillId="31" borderId="35" applyNumberFormat="0" applyAlignment="0" applyProtection="0"/>
    <xf numFmtId="0" fontId="13" fillId="31" borderId="35" applyNumberFormat="0" applyAlignment="0" applyProtection="0"/>
    <xf numFmtId="0" fontId="12" fillId="7" borderId="10" applyNumberFormat="0" applyFont="0" applyAlignment="0" applyProtection="0"/>
    <xf numFmtId="0" fontId="12" fillId="7" borderId="10" applyNumberFormat="0" applyFon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2" fillId="7" borderId="10" applyNumberFormat="0" applyFont="0" applyAlignment="0" applyProtection="0"/>
    <xf numFmtId="0" fontId="12" fillId="7" borderId="10" applyNumberFormat="0" applyFon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2" fillId="7" borderId="10" applyNumberFormat="0" applyFont="0" applyAlignment="0" applyProtection="0"/>
    <xf numFmtId="0" fontId="12" fillId="7" borderId="10" applyNumberFormat="0" applyFon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31" borderId="35" applyNumberForma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31" borderId="35" applyNumberForma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31" borderId="35" applyNumberForma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77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31" borderId="35" applyNumberForma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83" borderId="35" applyNumberFormat="0" applyFont="0" applyAlignment="0" applyProtection="0"/>
    <xf numFmtId="0" fontId="13" fillId="31" borderId="35" applyNumberFormat="0" applyAlignment="0" applyProtection="0"/>
    <xf numFmtId="40" fontId="13" fillId="0" borderId="0" applyFill="0" applyBorder="0" applyAlignment="0" applyProtection="0"/>
    <xf numFmtId="38" fontId="13" fillId="0" borderId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89" fillId="70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70" borderId="36" applyNumberFormat="0" applyAlignment="0" applyProtection="0"/>
    <xf numFmtId="0" fontId="89" fillId="70" borderId="36" applyNumberFormat="0" applyAlignment="0" applyProtection="0"/>
    <xf numFmtId="0" fontId="89" fillId="70" borderId="36" applyNumberFormat="0" applyAlignment="0" applyProtection="0"/>
    <xf numFmtId="0" fontId="89" fillId="70" borderId="36" applyNumberFormat="0" applyAlignment="0" applyProtection="0"/>
    <xf numFmtId="0" fontId="89" fillId="70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70" borderId="36" applyNumberFormat="0" applyAlignment="0" applyProtection="0"/>
    <xf numFmtId="0" fontId="89" fillId="70" borderId="36" applyNumberFormat="0" applyAlignment="0" applyProtection="0"/>
    <xf numFmtId="0" fontId="89" fillId="70" borderId="36" applyNumberFormat="0" applyAlignment="0" applyProtection="0"/>
    <xf numFmtId="0" fontId="89" fillId="70" borderId="36" applyNumberFormat="0" applyAlignment="0" applyProtection="0"/>
    <xf numFmtId="0" fontId="89" fillId="70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70" borderId="36" applyNumberFormat="0" applyAlignment="0" applyProtection="0"/>
    <xf numFmtId="0" fontId="89" fillId="70" borderId="36" applyNumberFormat="0" applyAlignment="0" applyProtection="0"/>
    <xf numFmtId="0" fontId="89" fillId="70" borderId="36" applyNumberFormat="0" applyAlignment="0" applyProtection="0"/>
    <xf numFmtId="0" fontId="89" fillId="70" borderId="36" applyNumberFormat="0" applyAlignment="0" applyProtection="0"/>
    <xf numFmtId="0" fontId="89" fillId="70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70" borderId="36" applyNumberFormat="0" applyAlignment="0" applyProtection="0"/>
    <xf numFmtId="0" fontId="89" fillId="70" borderId="36" applyNumberFormat="0" applyAlignment="0" applyProtection="0"/>
    <xf numFmtId="0" fontId="89" fillId="70" borderId="36" applyNumberFormat="0" applyAlignment="0" applyProtection="0"/>
    <xf numFmtId="0" fontId="89" fillId="70" borderId="36" applyNumberFormat="0" applyAlignment="0" applyProtection="0"/>
    <xf numFmtId="0" fontId="13" fillId="0" borderId="0"/>
    <xf numFmtId="0" fontId="89" fillId="70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70" borderId="36" applyNumberFormat="0" applyAlignment="0" applyProtection="0"/>
    <xf numFmtId="0" fontId="89" fillId="70" borderId="36" applyNumberFormat="0" applyAlignment="0" applyProtection="0"/>
    <xf numFmtId="0" fontId="89" fillId="70" borderId="36" applyNumberFormat="0" applyAlignment="0" applyProtection="0"/>
    <xf numFmtId="0" fontId="89" fillId="70" borderId="36" applyNumberFormat="0" applyAlignment="0" applyProtection="0"/>
    <xf numFmtId="0" fontId="89" fillId="36" borderId="36" applyNumberFormat="0" applyAlignment="0" applyProtection="0"/>
    <xf numFmtId="0" fontId="89" fillId="70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70" borderId="36" applyNumberFormat="0" applyAlignment="0" applyProtection="0"/>
    <xf numFmtId="0" fontId="89" fillId="70" borderId="36" applyNumberFormat="0" applyAlignment="0" applyProtection="0"/>
    <xf numFmtId="0" fontId="89" fillId="70" borderId="36" applyNumberFormat="0" applyAlignment="0" applyProtection="0"/>
    <xf numFmtId="0" fontId="89" fillId="70" borderId="36" applyNumberFormat="0" applyAlignment="0" applyProtection="0"/>
    <xf numFmtId="0" fontId="89" fillId="70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70" borderId="36" applyNumberFormat="0" applyAlignment="0" applyProtection="0"/>
    <xf numFmtId="0" fontId="89" fillId="70" borderId="36" applyNumberFormat="0" applyAlignment="0" applyProtection="0"/>
    <xf numFmtId="0" fontId="89" fillId="70" borderId="36" applyNumberFormat="0" applyAlignment="0" applyProtection="0"/>
    <xf numFmtId="0" fontId="89" fillId="70" borderId="36" applyNumberFormat="0" applyAlignment="0" applyProtection="0"/>
    <xf numFmtId="0" fontId="89" fillId="70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70" borderId="36" applyNumberFormat="0" applyAlignment="0" applyProtection="0"/>
    <xf numFmtId="0" fontId="89" fillId="70" borderId="36" applyNumberFormat="0" applyAlignment="0" applyProtection="0"/>
    <xf numFmtId="0" fontId="89" fillId="70" borderId="36" applyNumberFormat="0" applyAlignment="0" applyProtection="0"/>
    <xf numFmtId="0" fontId="89" fillId="70" borderId="36" applyNumberFormat="0" applyAlignment="0" applyProtection="0"/>
    <xf numFmtId="0" fontId="89" fillId="70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70" borderId="36" applyNumberFormat="0" applyAlignment="0" applyProtection="0"/>
    <xf numFmtId="0" fontId="89" fillId="70" borderId="36" applyNumberFormat="0" applyAlignment="0" applyProtection="0"/>
    <xf numFmtId="0" fontId="89" fillId="70" borderId="36" applyNumberFormat="0" applyAlignment="0" applyProtection="0"/>
    <xf numFmtId="0" fontId="89" fillId="70" borderId="36" applyNumberFormat="0" applyAlignment="0" applyProtection="0"/>
    <xf numFmtId="0" fontId="89" fillId="70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70" borderId="36" applyNumberFormat="0" applyAlignment="0" applyProtection="0"/>
    <xf numFmtId="0" fontId="89" fillId="70" borderId="36" applyNumberFormat="0" applyAlignment="0" applyProtection="0"/>
    <xf numFmtId="0" fontId="89" fillId="70" borderId="36" applyNumberFormat="0" applyAlignment="0" applyProtection="0"/>
    <xf numFmtId="0" fontId="89" fillId="70" borderId="36" applyNumberFormat="0" applyAlignment="0" applyProtection="0"/>
    <xf numFmtId="0" fontId="89" fillId="70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70" borderId="36" applyNumberFormat="0" applyAlignment="0" applyProtection="0"/>
    <xf numFmtId="0" fontId="89" fillId="70" borderId="36" applyNumberFormat="0" applyAlignment="0" applyProtection="0"/>
    <xf numFmtId="0" fontId="89" fillId="70" borderId="36" applyNumberFormat="0" applyAlignment="0" applyProtection="0"/>
    <xf numFmtId="0" fontId="89" fillId="70" borderId="36" applyNumberFormat="0" applyAlignment="0" applyProtection="0"/>
    <xf numFmtId="0" fontId="89" fillId="70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36" borderId="36" applyNumberFormat="0" applyAlignment="0" applyProtection="0"/>
    <xf numFmtId="0" fontId="89" fillId="70" borderId="36" applyNumberFormat="0" applyAlignment="0" applyProtection="0"/>
    <xf numFmtId="0" fontId="89" fillId="70" borderId="36" applyNumberFormat="0" applyAlignment="0" applyProtection="0"/>
    <xf numFmtId="0" fontId="89" fillId="70" borderId="36" applyNumberFormat="0" applyAlignment="0" applyProtection="0"/>
    <xf numFmtId="0" fontId="89" fillId="70" borderId="36" applyNumberFormat="0" applyAlignment="0" applyProtection="0"/>
    <xf numFmtId="40" fontId="90" fillId="75" borderId="0">
      <alignment horizontal="right"/>
    </xf>
    <xf numFmtId="40" fontId="90" fillId="76" borderId="0">
      <alignment horizontal="right"/>
    </xf>
    <xf numFmtId="40" fontId="90" fillId="15" borderId="0">
      <alignment horizontal="right"/>
    </xf>
    <xf numFmtId="0" fontId="91" fillId="75" borderId="0">
      <alignment horizontal="right"/>
    </xf>
    <xf numFmtId="0" fontId="91" fillId="76" borderId="0">
      <alignment horizontal="right"/>
    </xf>
    <xf numFmtId="0" fontId="91" fillId="15" borderId="0">
      <alignment horizontal="right"/>
    </xf>
    <xf numFmtId="0" fontId="92" fillId="75" borderId="11"/>
    <xf numFmtId="0" fontId="92" fillId="76" borderId="37"/>
    <xf numFmtId="0" fontId="92" fillId="15" borderId="37"/>
    <xf numFmtId="0" fontId="92" fillId="0" borderId="0" applyBorder="0">
      <alignment horizontal="centerContinuous"/>
    </xf>
    <xf numFmtId="0" fontId="92" fillId="0" borderId="0" applyBorder="0">
      <alignment horizontal="center"/>
    </xf>
    <xf numFmtId="0" fontId="93" fillId="0" borderId="0" applyBorder="0">
      <alignment horizontal="centerContinuous"/>
    </xf>
    <xf numFmtId="0" fontId="93" fillId="0" borderId="0" applyBorder="0">
      <alignment horizontal="center"/>
    </xf>
    <xf numFmtId="14" fontId="23" fillId="0" borderId="0">
      <alignment horizontal="center" wrapText="1"/>
      <protection locked="0"/>
    </xf>
    <xf numFmtId="9" fontId="12" fillId="0" borderId="0" applyFont="0" applyFill="0" applyBorder="0" applyAlignment="0" applyProtection="0"/>
    <xf numFmtId="226" fontId="13" fillId="0" borderId="0" applyFill="0" applyBorder="0" applyAlignment="0" applyProtection="0"/>
    <xf numFmtId="226" fontId="13" fillId="0" borderId="0" applyFill="0" applyBorder="0" applyAlignment="0" applyProtection="0"/>
    <xf numFmtId="0" fontId="13" fillId="0" borderId="0"/>
    <xf numFmtId="0" fontId="13" fillId="0" borderId="0"/>
    <xf numFmtId="0" fontId="13" fillId="0" borderId="0"/>
    <xf numFmtId="227" fontId="13" fillId="0" borderId="0" applyFill="0" applyBorder="0" applyAlignment="0" applyProtection="0"/>
    <xf numFmtId="227" fontId="13" fillId="0" borderId="0" applyFill="0" applyBorder="0" applyAlignment="0" applyProtection="0"/>
    <xf numFmtId="0" fontId="13" fillId="0" borderId="0"/>
    <xf numFmtId="0" fontId="13" fillId="0" borderId="0"/>
    <xf numFmtId="0" fontId="13" fillId="0" borderId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ill="0" applyBorder="0" applyAlignment="0" applyProtection="0"/>
    <xf numFmtId="0" fontId="13" fillId="0" borderId="0"/>
    <xf numFmtId="10" fontId="13" fillId="0" borderId="0" applyFill="0" applyBorder="0" applyAlignment="0" applyProtection="0"/>
    <xf numFmtId="0" fontId="13" fillId="0" borderId="0"/>
    <xf numFmtId="0" fontId="13" fillId="0" borderId="0"/>
    <xf numFmtId="9" fontId="12" fillId="0" borderId="0" applyFont="0" applyFill="0" applyBorder="0" applyAlignment="0" applyProtection="0"/>
    <xf numFmtId="9" fontId="13" fillId="0" borderId="0" applyFill="0" applyBorder="0" applyAlignment="0" applyProtection="0"/>
    <xf numFmtId="9" fontId="12" fillId="0" borderId="0" applyFont="0" applyFill="0" applyBorder="0" applyAlignment="0" applyProtection="0"/>
    <xf numFmtId="9" fontId="13" fillId="0" borderId="0" applyFill="0" applyBorder="0" applyAlignment="0" applyProtection="0"/>
    <xf numFmtId="9" fontId="12" fillId="0" borderId="0" applyFont="0" applyFill="0" applyBorder="0" applyAlignment="0" applyProtection="0"/>
    <xf numFmtId="9" fontId="13" fillId="0" borderId="0" applyFill="0" applyBorder="0" applyAlignment="0" applyProtection="0"/>
    <xf numFmtId="9" fontId="12" fillId="0" borderId="0" applyFont="0" applyFill="0" applyBorder="0" applyAlignment="0" applyProtection="0"/>
    <xf numFmtId="9" fontId="13" fillId="0" borderId="0" applyFill="0" applyBorder="0" applyAlignment="0" applyProtection="0"/>
    <xf numFmtId="9" fontId="12" fillId="0" borderId="0" applyFont="0" applyFill="0" applyBorder="0" applyAlignment="0" applyProtection="0"/>
    <xf numFmtId="9" fontId="13" fillId="0" borderId="0" applyFill="0" applyBorder="0" applyAlignment="0" applyProtection="0"/>
    <xf numFmtId="9" fontId="12" fillId="0" borderId="0" applyFont="0" applyFill="0" applyBorder="0" applyAlignment="0" applyProtection="0"/>
    <xf numFmtId="9" fontId="13" fillId="0" borderId="0" applyFill="0" applyBorder="0" applyAlignment="0" applyProtection="0"/>
    <xf numFmtId="9" fontId="12" fillId="0" borderId="0" applyFont="0" applyFill="0" applyBorder="0" applyAlignment="0" applyProtection="0"/>
    <xf numFmtId="9" fontId="13" fillId="0" borderId="0" applyFill="0" applyBorder="0" applyAlignment="0" applyProtection="0"/>
    <xf numFmtId="9" fontId="12" fillId="0" borderId="0" applyFont="0" applyFill="0" applyBorder="0" applyAlignment="0" applyProtection="0"/>
    <xf numFmtId="9" fontId="13" fillId="0" borderId="0" applyFill="0" applyBorder="0" applyAlignment="0" applyProtection="0"/>
    <xf numFmtId="9" fontId="12" fillId="0" borderId="0" applyFont="0" applyFill="0" applyBorder="0" applyAlignment="0" applyProtection="0"/>
    <xf numFmtId="9" fontId="13" fillId="0" borderId="0" applyFill="0" applyBorder="0" applyAlignment="0" applyProtection="0"/>
    <xf numFmtId="9" fontId="12" fillId="0" borderId="0" applyFont="0" applyFill="0" applyBorder="0" applyAlignment="0" applyProtection="0"/>
    <xf numFmtId="9" fontId="13" fillId="0" borderId="0" applyFill="0" applyBorder="0" applyAlignment="0" applyProtection="0"/>
    <xf numFmtId="9" fontId="13" fillId="0" borderId="0" applyFont="0" applyFill="0" applyBorder="0" applyAlignment="0" applyProtection="0"/>
    <xf numFmtId="9" fontId="38" fillId="0" borderId="0" applyFill="0" applyBorder="0" applyProtection="0">
      <alignment vertical="center"/>
    </xf>
    <xf numFmtId="9" fontId="38" fillId="0" borderId="0" applyFill="0" applyBorder="0" applyProtection="0">
      <alignment vertical="center"/>
    </xf>
    <xf numFmtId="9" fontId="13" fillId="0" borderId="0" applyFill="0" applyBorder="0" applyProtection="0">
      <alignment vertical="center"/>
    </xf>
    <xf numFmtId="9" fontId="38" fillId="0" borderId="0" applyFill="0" applyBorder="0" applyAlignment="0" applyProtection="0"/>
    <xf numFmtId="9" fontId="38" fillId="0" borderId="0" applyFill="0" applyBorder="0" applyAlignment="0" applyProtection="0"/>
    <xf numFmtId="0" fontId="13" fillId="0" borderId="0"/>
    <xf numFmtId="9" fontId="13" fillId="0" borderId="0" applyFill="0" applyBorder="0" applyProtection="0">
      <alignment vertical="center"/>
    </xf>
    <xf numFmtId="9" fontId="38" fillId="0" borderId="0" applyFill="0" applyBorder="0" applyAlignment="0" applyProtection="0"/>
    <xf numFmtId="9" fontId="38" fillId="0" borderId="0" applyFill="0" applyBorder="0" applyAlignment="0" applyProtection="0"/>
    <xf numFmtId="9" fontId="13" fillId="0" borderId="0" applyFill="0" applyBorder="0" applyAlignment="0" applyProtection="0"/>
    <xf numFmtId="9" fontId="38" fillId="0" borderId="0" applyFill="0" applyBorder="0" applyProtection="0">
      <alignment vertical="center"/>
    </xf>
    <xf numFmtId="9" fontId="38" fillId="0" borderId="0" applyFill="0" applyBorder="0" applyProtection="0">
      <alignment vertical="center"/>
    </xf>
    <xf numFmtId="0" fontId="13" fillId="0" borderId="0"/>
    <xf numFmtId="0" fontId="13" fillId="0" borderId="0"/>
    <xf numFmtId="0" fontId="13" fillId="0" borderId="0"/>
    <xf numFmtId="9" fontId="38" fillId="0" borderId="0" applyFill="0" applyBorder="0" applyProtection="0">
      <alignment vertical="center"/>
    </xf>
    <xf numFmtId="9" fontId="38" fillId="0" borderId="0" applyFill="0" applyBorder="0" applyProtection="0">
      <alignment vertical="center"/>
    </xf>
    <xf numFmtId="0" fontId="13" fillId="0" borderId="0"/>
    <xf numFmtId="9" fontId="12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9" fontId="12" fillId="0" borderId="0" applyFont="0" applyFill="0" applyBorder="0" applyAlignment="0" applyProtection="0"/>
    <xf numFmtId="0" fontId="13" fillId="0" borderId="0"/>
    <xf numFmtId="9" fontId="39" fillId="0" borderId="0" applyBorder="0" applyProtection="0"/>
    <xf numFmtId="0" fontId="13" fillId="0" borderId="0"/>
    <xf numFmtId="9" fontId="12" fillId="0" borderId="0" applyFont="0" applyFill="0" applyBorder="0" applyAlignment="0" applyProtection="0"/>
    <xf numFmtId="9" fontId="13" fillId="0" borderId="0" applyFill="0" applyBorder="0" applyAlignment="0" applyProtection="0"/>
    <xf numFmtId="0" fontId="13" fillId="0" borderId="0"/>
    <xf numFmtId="9" fontId="12" fillId="0" borderId="0" applyFont="0" applyFill="0" applyBorder="0" applyAlignment="0" applyProtection="0"/>
    <xf numFmtId="9" fontId="13" fillId="0" borderId="0" applyFill="0" applyBorder="0" applyAlignment="0" applyProtection="0"/>
    <xf numFmtId="0" fontId="13" fillId="0" borderId="0"/>
    <xf numFmtId="9" fontId="12" fillId="0" borderId="0" applyFont="0" applyFill="0" applyBorder="0" applyAlignment="0" applyProtection="0"/>
    <xf numFmtId="9" fontId="13" fillId="0" borderId="0" applyFill="0" applyBorder="0" applyAlignment="0" applyProtection="0"/>
    <xf numFmtId="0" fontId="13" fillId="0" borderId="0"/>
    <xf numFmtId="9" fontId="12" fillId="0" borderId="0" applyFont="0" applyFill="0" applyBorder="0" applyAlignment="0" applyProtection="0"/>
    <xf numFmtId="9" fontId="13" fillId="0" borderId="0" applyFill="0" applyBorder="0" applyAlignment="0" applyProtection="0"/>
    <xf numFmtId="0" fontId="13" fillId="0" borderId="0"/>
    <xf numFmtId="9" fontId="12" fillId="0" borderId="0" applyFont="0" applyFill="0" applyBorder="0" applyAlignment="0" applyProtection="0"/>
    <xf numFmtId="9" fontId="13" fillId="0" borderId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ill="0" applyBorder="0" applyAlignment="0" applyProtection="0"/>
    <xf numFmtId="0" fontId="13" fillId="0" borderId="0"/>
    <xf numFmtId="9" fontId="13" fillId="0" borderId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ill="0" applyBorder="0" applyAlignment="0" applyProtection="0"/>
    <xf numFmtId="0" fontId="13" fillId="0" borderId="0"/>
    <xf numFmtId="9" fontId="13" fillId="0" borderId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ill="0" applyBorder="0" applyAlignment="0" applyProtection="0"/>
    <xf numFmtId="0" fontId="13" fillId="0" borderId="0"/>
    <xf numFmtId="9" fontId="13" fillId="0" borderId="0" applyFill="0" applyBorder="0" applyAlignment="0" applyProtection="0"/>
    <xf numFmtId="0" fontId="13" fillId="0" borderId="0"/>
    <xf numFmtId="0" fontId="13" fillId="0" borderId="0"/>
    <xf numFmtId="9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13" fillId="0" borderId="0" applyFill="0" applyBorder="0" applyAlignment="0" applyProtection="0"/>
    <xf numFmtId="0" fontId="13" fillId="0" borderId="0"/>
    <xf numFmtId="9" fontId="13" fillId="0" borderId="0" applyFill="0" applyBorder="0" applyAlignment="0" applyProtection="0"/>
    <xf numFmtId="0" fontId="13" fillId="0" borderId="0"/>
    <xf numFmtId="0" fontId="13" fillId="0" borderId="0"/>
    <xf numFmtId="9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13" fillId="0" borderId="0" applyFill="0" applyBorder="0" applyAlignment="0" applyProtection="0"/>
    <xf numFmtId="0" fontId="13" fillId="0" borderId="0"/>
    <xf numFmtId="9" fontId="13" fillId="0" borderId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ill="0" applyBorder="0" applyProtection="0">
      <alignment vertical="center"/>
    </xf>
    <xf numFmtId="9" fontId="13" fillId="0" borderId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9" fontId="13" fillId="0" borderId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9" fontId="13" fillId="0" borderId="0" applyFill="0" applyBorder="0" applyAlignment="0" applyProtection="0"/>
    <xf numFmtId="0" fontId="13" fillId="0" borderId="0"/>
    <xf numFmtId="9" fontId="13" fillId="0" borderId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ill="0" applyBorder="0" applyAlignment="0" applyProtection="0"/>
    <xf numFmtId="0" fontId="13" fillId="0" borderId="0"/>
    <xf numFmtId="9" fontId="12" fillId="0" borderId="0" applyFont="0" applyFill="0" applyBorder="0" applyAlignment="0" applyProtection="0"/>
    <xf numFmtId="9" fontId="13" fillId="0" borderId="0" applyFill="0" applyBorder="0" applyAlignment="0" applyProtection="0"/>
    <xf numFmtId="0" fontId="13" fillId="0" borderId="0"/>
    <xf numFmtId="9" fontId="13" fillId="0" borderId="0" applyFill="0" applyBorder="0" applyAlignment="0" applyProtection="0"/>
    <xf numFmtId="9" fontId="13" fillId="0" borderId="0" applyFill="0" applyBorder="0" applyAlignment="0" applyProtection="0"/>
    <xf numFmtId="0" fontId="13" fillId="0" borderId="0"/>
    <xf numFmtId="9" fontId="13" fillId="0" borderId="0" applyFill="0" applyBorder="0" applyAlignment="0" applyProtection="0"/>
    <xf numFmtId="0" fontId="13" fillId="0" borderId="0"/>
    <xf numFmtId="0" fontId="13" fillId="0" borderId="0"/>
    <xf numFmtId="9" fontId="12" fillId="0" borderId="0" applyBorder="0" applyProtection="0"/>
    <xf numFmtId="9" fontId="8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ill="0" applyBorder="0" applyAlignment="0" applyProtection="0"/>
    <xf numFmtId="0" fontId="13" fillId="0" borderId="0"/>
    <xf numFmtId="9" fontId="13" fillId="0" borderId="0" applyFill="0" applyBorder="0" applyAlignment="0" applyProtection="0"/>
    <xf numFmtId="0" fontId="13" fillId="0" borderId="0"/>
    <xf numFmtId="0" fontId="13" fillId="0" borderId="0"/>
    <xf numFmtId="9" fontId="86" fillId="0" borderId="0" applyFont="0" applyFill="0" applyBorder="0" applyAlignment="0" applyProtection="0"/>
    <xf numFmtId="9" fontId="13" fillId="0" borderId="0" applyFill="0" applyBorder="0" applyAlignment="0" applyProtection="0"/>
    <xf numFmtId="0" fontId="13" fillId="0" borderId="0"/>
    <xf numFmtId="9" fontId="13" fillId="0" borderId="0" applyFill="0" applyBorder="0" applyAlignment="0" applyProtection="0"/>
    <xf numFmtId="0" fontId="13" fillId="0" borderId="0"/>
    <xf numFmtId="0" fontId="13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3" fillId="0" borderId="0" applyFill="0" applyBorder="0" applyAlignment="0" applyProtection="0"/>
    <xf numFmtId="0" fontId="13" fillId="0" borderId="0"/>
    <xf numFmtId="9" fontId="13" fillId="0" borderId="0" applyFill="0" applyBorder="0" applyAlignment="0" applyProtection="0"/>
    <xf numFmtId="0" fontId="13" fillId="0" borderId="0"/>
    <xf numFmtId="0" fontId="13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3" fillId="0" borderId="0" applyFill="0" applyBorder="0" applyAlignment="0" applyProtection="0"/>
    <xf numFmtId="0" fontId="13" fillId="0" borderId="0"/>
    <xf numFmtId="9" fontId="13" fillId="0" borderId="0" applyFill="0" applyBorder="0" applyAlignment="0" applyProtection="0"/>
    <xf numFmtId="0" fontId="13" fillId="0" borderId="0"/>
    <xf numFmtId="0" fontId="13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3" fillId="0" borderId="0" applyFill="0" applyBorder="0" applyAlignment="0" applyProtection="0"/>
    <xf numFmtId="0" fontId="13" fillId="0" borderId="0"/>
    <xf numFmtId="9" fontId="13" fillId="0" borderId="0" applyFill="0" applyBorder="0" applyAlignment="0" applyProtection="0"/>
    <xf numFmtId="0" fontId="13" fillId="0" borderId="0"/>
    <xf numFmtId="0" fontId="13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3" fillId="0" borderId="0" applyFill="0" applyBorder="0" applyAlignment="0" applyProtection="0"/>
    <xf numFmtId="0" fontId="13" fillId="0" borderId="0"/>
    <xf numFmtId="9" fontId="13" fillId="0" borderId="0" applyFill="0" applyBorder="0" applyAlignment="0" applyProtection="0"/>
    <xf numFmtId="0" fontId="13" fillId="0" borderId="0"/>
    <xf numFmtId="0" fontId="13" fillId="0" borderId="0"/>
    <xf numFmtId="9" fontId="12" fillId="0" borderId="0" applyFont="0" applyFill="0" applyBorder="0" applyAlignment="0" applyProtection="0"/>
    <xf numFmtId="9" fontId="13" fillId="0" borderId="0" applyFill="0" applyBorder="0" applyAlignment="0" applyProtection="0"/>
    <xf numFmtId="0" fontId="13" fillId="0" borderId="0"/>
    <xf numFmtId="0" fontId="47" fillId="0" borderId="0" applyNumberFormat="0" applyBorder="0"/>
    <xf numFmtId="0" fontId="47" fillId="0" borderId="0" applyNumberFormat="0" applyBorder="0"/>
    <xf numFmtId="0" fontId="13" fillId="0" borderId="0"/>
    <xf numFmtId="0" fontId="38" fillId="0" borderId="0" applyNumberFormat="0" applyFill="0" applyBorder="0" applyProtection="0">
      <alignment horizontal="left" vertical="center"/>
    </xf>
    <xf numFmtId="0" fontId="12" fillId="0" borderId="0" applyNumberFormat="0" applyFill="0" applyBorder="0" applyProtection="0">
      <alignment horizontal="left"/>
    </xf>
    <xf numFmtId="0" fontId="94" fillId="0" borderId="0" applyNumberFormat="0" applyFill="0" applyBorder="0" applyProtection="0">
      <alignment horizontal="left"/>
    </xf>
    <xf numFmtId="0" fontId="94" fillId="0" borderId="0" applyNumberFormat="0" applyFill="0" applyBorder="0" applyProtection="0">
      <alignment horizontal="left"/>
    </xf>
    <xf numFmtId="0" fontId="38" fillId="0" borderId="0" applyNumberFormat="0" applyFill="0" applyBorder="0" applyProtection="0">
      <alignment horizontal="left" vertical="center"/>
    </xf>
    <xf numFmtId="0" fontId="88" fillId="0" borderId="0" applyNumberFormat="0" applyFill="0" applyBorder="0" applyProtection="0">
      <alignment horizontal="left" vertical="center"/>
    </xf>
    <xf numFmtId="0" fontId="13" fillId="0" borderId="0"/>
    <xf numFmtId="0" fontId="38" fillId="0" borderId="0" applyNumberFormat="0" applyFill="0" applyBorder="0" applyProtection="0">
      <alignment vertical="center"/>
    </xf>
    <xf numFmtId="0" fontId="12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38" fillId="0" borderId="0" applyNumberFormat="0" applyFill="0" applyBorder="0" applyProtection="0">
      <alignment vertical="center"/>
    </xf>
    <xf numFmtId="0" fontId="88" fillId="0" borderId="0" applyNumberFormat="0" applyFill="0" applyBorder="0" applyProtection="0">
      <alignment vertical="center"/>
    </xf>
    <xf numFmtId="0" fontId="13" fillId="0" borderId="0"/>
    <xf numFmtId="0" fontId="38" fillId="0" borderId="0" applyNumberFormat="0" applyFill="0" applyBorder="0" applyProtection="0">
      <alignment vertical="center"/>
    </xf>
    <xf numFmtId="0" fontId="12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38" fillId="0" borderId="0" applyNumberFormat="0" applyFill="0" applyBorder="0" applyProtection="0">
      <alignment vertical="center"/>
    </xf>
    <xf numFmtId="0" fontId="88" fillId="0" borderId="0" applyNumberFormat="0" applyFill="0" applyBorder="0" applyProtection="0">
      <alignment vertical="center"/>
    </xf>
    <xf numFmtId="0" fontId="13" fillId="0" borderId="0"/>
    <xf numFmtId="0" fontId="95" fillId="0" borderId="0" applyNumberFormat="0" applyFill="0" applyBorder="0" applyProtection="0">
      <alignment vertical="center"/>
    </xf>
    <xf numFmtId="0" fontId="51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Protection="0">
      <alignment vertical="center"/>
    </xf>
    <xf numFmtId="0" fontId="89" fillId="0" borderId="0" applyNumberFormat="0" applyFill="0" applyBorder="0" applyProtection="0">
      <alignment vertical="center"/>
    </xf>
    <xf numFmtId="0" fontId="13" fillId="0" borderId="0"/>
    <xf numFmtId="0" fontId="95" fillId="0" borderId="0" applyNumberFormat="0" applyFill="0" applyBorder="0" applyProtection="0">
      <alignment horizontal="left" vertical="center"/>
    </xf>
    <xf numFmtId="0" fontId="51" fillId="0" borderId="0" applyNumberFormat="0" applyFill="0" applyBorder="0" applyProtection="0">
      <alignment horizontal="left"/>
    </xf>
    <xf numFmtId="0" fontId="94" fillId="0" borderId="0" applyNumberFormat="0" applyFill="0" applyBorder="0" applyProtection="0">
      <alignment horizontal="left"/>
    </xf>
    <xf numFmtId="0" fontId="94" fillId="0" borderId="0" applyNumberFormat="0" applyFill="0" applyBorder="0" applyProtection="0">
      <alignment horizontal="left"/>
    </xf>
    <xf numFmtId="0" fontId="95" fillId="0" borderId="0" applyNumberFormat="0" applyFill="0" applyBorder="0" applyProtection="0">
      <alignment horizontal="left" vertical="center"/>
    </xf>
    <xf numFmtId="0" fontId="89" fillId="0" borderId="0" applyNumberFormat="0" applyFill="0" applyBorder="0" applyProtection="0">
      <alignment horizontal="left" vertical="center"/>
    </xf>
    <xf numFmtId="0" fontId="13" fillId="0" borderId="0"/>
    <xf numFmtId="0" fontId="38" fillId="0" borderId="0" applyNumberFormat="0" applyFill="0" applyBorder="0" applyProtection="0">
      <alignment vertical="center"/>
    </xf>
    <xf numFmtId="0" fontId="12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38" fillId="0" borderId="0" applyNumberFormat="0" applyFill="0" applyBorder="0" applyProtection="0">
      <alignment vertical="center"/>
    </xf>
    <xf numFmtId="0" fontId="88" fillId="0" borderId="0" applyNumberFormat="0" applyFill="0" applyBorder="0" applyProtection="0">
      <alignment vertical="center"/>
    </xf>
    <xf numFmtId="0" fontId="13" fillId="0" borderId="0"/>
    <xf numFmtId="0" fontId="13" fillId="0" borderId="0" applyFill="0" applyBorder="0" applyAlignment="0"/>
    <xf numFmtId="0" fontId="13" fillId="0" borderId="0" applyFill="0" applyBorder="0" applyAlignment="0"/>
    <xf numFmtId="0" fontId="13" fillId="0" borderId="0"/>
    <xf numFmtId="0" fontId="13" fillId="0" borderId="0"/>
    <xf numFmtId="0" fontId="13" fillId="0" borderId="0" applyFill="0" applyBorder="0" applyAlignment="0"/>
    <xf numFmtId="191" fontId="32" fillId="0" borderId="0" applyFill="0" applyBorder="0" applyAlignment="0"/>
    <xf numFmtId="191" fontId="32" fillId="0" borderId="0" applyFill="0" applyBorder="0" applyAlignment="0"/>
    <xf numFmtId="0" fontId="13" fillId="0" borderId="0"/>
    <xf numFmtId="0" fontId="13" fillId="0" borderId="0" applyFill="0" applyBorder="0" applyAlignment="0"/>
    <xf numFmtId="0" fontId="13" fillId="0" borderId="0" applyFill="0" applyBorder="0" applyAlignment="0"/>
    <xf numFmtId="0" fontId="13" fillId="0" borderId="0"/>
    <xf numFmtId="0" fontId="13" fillId="0" borderId="0"/>
    <xf numFmtId="0" fontId="13" fillId="0" borderId="0" applyFill="0" applyBorder="0" applyAlignment="0"/>
    <xf numFmtId="213" fontId="32" fillId="0" borderId="0" applyFill="0" applyBorder="0" applyAlignment="0"/>
    <xf numFmtId="213" fontId="32" fillId="0" borderId="0" applyFill="0" applyBorder="0" applyAlignment="0"/>
    <xf numFmtId="0" fontId="13" fillId="0" borderId="0"/>
    <xf numFmtId="191" fontId="32" fillId="0" borderId="0" applyFill="0" applyBorder="0" applyAlignment="0"/>
    <xf numFmtId="191" fontId="32" fillId="0" borderId="0" applyFill="0" applyBorder="0" applyAlignment="0"/>
    <xf numFmtId="0" fontId="13" fillId="0" borderId="0"/>
    <xf numFmtId="10" fontId="48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/>
    <xf numFmtId="0" fontId="13" fillId="0" borderId="0"/>
    <xf numFmtId="0" fontId="13" fillId="0" borderId="0"/>
    <xf numFmtId="15" fontId="13" fillId="0" borderId="0" applyFill="0" applyBorder="0" applyAlignment="0" applyProtection="0"/>
    <xf numFmtId="15" fontId="13" fillId="0" borderId="0" applyFill="0" applyBorder="0" applyAlignment="0" applyProtection="0"/>
    <xf numFmtId="0" fontId="13" fillId="0" borderId="0"/>
    <xf numFmtId="0" fontId="13" fillId="0" borderId="0"/>
    <xf numFmtId="0" fontId="13" fillId="0" borderId="0"/>
    <xf numFmtId="4" fontId="13" fillId="0" borderId="0" applyFill="0" applyBorder="0" applyAlignment="0" applyProtection="0"/>
    <xf numFmtId="4" fontId="13" fillId="0" borderId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96" fillId="0" borderId="34">
      <alignment horizontal="center"/>
    </xf>
    <xf numFmtId="0" fontId="96" fillId="0" borderId="34">
      <alignment horizontal="center"/>
    </xf>
    <xf numFmtId="0" fontId="13" fillId="0" borderId="0"/>
    <xf numFmtId="3" fontId="13" fillId="0" borderId="0" applyFill="0" applyBorder="0" applyAlignment="0" applyProtection="0"/>
    <xf numFmtId="3" fontId="13" fillId="0" borderId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84" borderId="0" applyNumberFormat="0" applyBorder="0" applyAlignment="0" applyProtection="0"/>
    <xf numFmtId="0" fontId="13" fillId="84" borderId="0" applyNumberFormat="0" applyBorder="0" applyAlignment="0" applyProtection="0"/>
    <xf numFmtId="0" fontId="13" fillId="3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97" fillId="0" borderId="0">
      <alignment vertical="center"/>
    </xf>
    <xf numFmtId="0" fontId="13" fillId="0" borderId="0"/>
    <xf numFmtId="0" fontId="98" fillId="0" borderId="0"/>
    <xf numFmtId="0" fontId="9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228" fontId="98" fillId="0" borderId="0"/>
    <xf numFmtId="0" fontId="99" fillId="0" borderId="0"/>
    <xf numFmtId="0" fontId="13" fillId="0" borderId="0"/>
    <xf numFmtId="0" fontId="13" fillId="0" borderId="0"/>
    <xf numFmtId="0" fontId="13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3" fillId="0" borderId="0"/>
    <xf numFmtId="0" fontId="13" fillId="0" borderId="0"/>
    <xf numFmtId="0" fontId="100" fillId="0" borderId="0" applyNumberFormat="0" applyFill="0" applyBorder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0" fontId="20" fillId="0" borderId="0"/>
    <xf numFmtId="0" fontId="13" fillId="0" borderId="0"/>
    <xf numFmtId="226" fontId="47" fillId="0" borderId="0">
      <alignment horizontal="center"/>
    </xf>
    <xf numFmtId="226" fontId="47" fillId="0" borderId="0">
      <alignment horizontal="center"/>
    </xf>
    <xf numFmtId="0" fontId="13" fillId="0" borderId="0"/>
    <xf numFmtId="0" fontId="101" fillId="63" borderId="18" applyNumberFormat="0">
      <alignment horizontal="center"/>
      <protection locked="0"/>
    </xf>
    <xf numFmtId="0" fontId="13" fillId="0" borderId="0"/>
    <xf numFmtId="0" fontId="20" fillId="0" borderId="0"/>
    <xf numFmtId="0" fontId="13" fillId="0" borderId="0"/>
    <xf numFmtId="0" fontId="20" fillId="0" borderId="0"/>
    <xf numFmtId="0" fontId="13" fillId="0" borderId="0"/>
    <xf numFmtId="0" fontId="20" fillId="0" borderId="0"/>
    <xf numFmtId="0" fontId="13" fillId="0" borderId="0"/>
    <xf numFmtId="0" fontId="20" fillId="0" borderId="0"/>
    <xf numFmtId="0" fontId="13" fillId="0" borderId="0"/>
    <xf numFmtId="0" fontId="20" fillId="0" borderId="0"/>
    <xf numFmtId="0" fontId="13" fillId="0" borderId="0"/>
    <xf numFmtId="0" fontId="14" fillId="0" borderId="0" applyNumberForma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4" fillId="0" borderId="0" applyNumberForma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4" fillId="0" borderId="0" applyNumberForma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4" fillId="0" borderId="0" applyNumberForma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4" fillId="0" borderId="0" applyNumberForma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8" fillId="0" borderId="0"/>
    <xf numFmtId="0" fontId="78" fillId="0" borderId="0"/>
    <xf numFmtId="0" fontId="79" fillId="0" borderId="0"/>
    <xf numFmtId="0" fontId="13" fillId="0" borderId="0"/>
    <xf numFmtId="0" fontId="79" fillId="0" borderId="0"/>
    <xf numFmtId="0" fontId="13" fillId="0" borderId="0"/>
    <xf numFmtId="0" fontId="13" fillId="0" borderId="0"/>
    <xf numFmtId="40" fontId="102" fillId="0" borderId="0" applyBorder="0">
      <alignment horizontal="right"/>
    </xf>
    <xf numFmtId="40" fontId="102" fillId="0" borderId="0" applyBorder="0">
      <alignment horizontal="right"/>
    </xf>
    <xf numFmtId="0" fontId="13" fillId="0" borderId="0"/>
    <xf numFmtId="0" fontId="13" fillId="0" borderId="0"/>
    <xf numFmtId="40" fontId="103" fillId="0" borderId="0" applyBorder="0">
      <alignment horizontal="right"/>
    </xf>
    <xf numFmtId="229" fontId="12" fillId="0" borderId="0"/>
    <xf numFmtId="0" fontId="50" fillId="0" borderId="0"/>
    <xf numFmtId="0" fontId="13" fillId="0" borderId="0"/>
    <xf numFmtId="0" fontId="53" fillId="0" borderId="0" applyBorder="0" applyProtection="0"/>
    <xf numFmtId="0" fontId="13" fillId="0" borderId="0"/>
    <xf numFmtId="230" fontId="52" fillId="0" borderId="0"/>
    <xf numFmtId="0" fontId="13" fillId="0" borderId="0"/>
    <xf numFmtId="49" fontId="39" fillId="0" borderId="0" applyFill="0" applyBorder="0" applyAlignment="0"/>
    <xf numFmtId="0" fontId="13" fillId="0" borderId="0"/>
    <xf numFmtId="231" fontId="32" fillId="0" borderId="0" applyFill="0" applyBorder="0" applyAlignment="0"/>
    <xf numFmtId="231" fontId="32" fillId="0" borderId="0" applyFill="0" applyBorder="0" applyAlignment="0"/>
    <xf numFmtId="0" fontId="13" fillId="0" borderId="0"/>
    <xf numFmtId="231" fontId="13" fillId="0" borderId="0" applyFill="0" applyBorder="0" applyAlignment="0"/>
    <xf numFmtId="231" fontId="13" fillId="0" borderId="0" applyFill="0" applyBorder="0" applyAlignment="0"/>
    <xf numFmtId="0" fontId="13" fillId="0" borderId="0"/>
    <xf numFmtId="0" fontId="13" fillId="0" borderId="0"/>
    <xf numFmtId="231" fontId="13" fillId="0" borderId="0" applyFill="0" applyBorder="0" applyAlignment="0"/>
    <xf numFmtId="40" fontId="104" fillId="0" borderId="0"/>
    <xf numFmtId="0" fontId="13" fillId="0" borderId="0"/>
    <xf numFmtId="0" fontId="105" fillId="0" borderId="0" applyNumberFormat="0" applyFill="0" applyBorder="0" applyAlignment="0" applyProtection="0"/>
    <xf numFmtId="0" fontId="13" fillId="0" borderId="0"/>
    <xf numFmtId="0" fontId="105" fillId="0" borderId="0" applyNumberFormat="0" applyFill="0" applyBorder="0" applyAlignment="0" applyProtection="0"/>
    <xf numFmtId="0" fontId="13" fillId="0" borderId="0"/>
    <xf numFmtId="0" fontId="105" fillId="0" borderId="0" applyNumberFormat="0" applyFill="0" applyBorder="0" applyAlignment="0" applyProtection="0"/>
    <xf numFmtId="0" fontId="13" fillId="0" borderId="0"/>
    <xf numFmtId="0" fontId="105" fillId="0" borderId="0" applyNumberFormat="0" applyFill="0" applyBorder="0" applyAlignment="0" applyProtection="0"/>
    <xf numFmtId="0" fontId="13" fillId="0" borderId="0"/>
    <xf numFmtId="0" fontId="13" fillId="0" borderId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05" fillId="0" borderId="0" applyNumberFormat="0" applyFill="0" applyBorder="0" applyAlignment="0" applyProtection="0"/>
    <xf numFmtId="0" fontId="13" fillId="0" borderId="0"/>
    <xf numFmtId="0" fontId="105" fillId="0" borderId="0" applyNumberFormat="0" applyFill="0" applyBorder="0" applyAlignment="0" applyProtection="0"/>
    <xf numFmtId="0" fontId="13" fillId="0" borderId="0"/>
    <xf numFmtId="0" fontId="105" fillId="0" borderId="0" applyNumberFormat="0" applyFill="0" applyBorder="0" applyAlignment="0" applyProtection="0"/>
    <xf numFmtId="0" fontId="13" fillId="0" borderId="0"/>
    <xf numFmtId="0" fontId="105" fillId="0" borderId="0" applyNumberFormat="0" applyFill="0" applyBorder="0" applyAlignment="0" applyProtection="0"/>
    <xf numFmtId="0" fontId="13" fillId="0" borderId="0"/>
    <xf numFmtId="0" fontId="105" fillId="0" borderId="0" applyNumberFormat="0" applyFill="0" applyBorder="0" applyAlignment="0" applyProtection="0"/>
    <xf numFmtId="0" fontId="13" fillId="0" borderId="0"/>
    <xf numFmtId="0" fontId="105" fillId="0" borderId="0" applyNumberFormat="0" applyFill="0" applyBorder="0" applyAlignment="0" applyProtection="0"/>
    <xf numFmtId="0" fontId="13" fillId="0" borderId="0"/>
    <xf numFmtId="0" fontId="105" fillId="0" borderId="0" applyNumberFormat="0" applyFill="0" applyBorder="0" applyAlignment="0" applyProtection="0"/>
    <xf numFmtId="0" fontId="13" fillId="0" borderId="0"/>
    <xf numFmtId="0" fontId="51" fillId="0" borderId="38" applyNumberFormat="0" applyFill="0" applyAlignment="0" applyProtection="0"/>
    <xf numFmtId="0" fontId="13" fillId="0" borderId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13" fillId="0" borderId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13" fillId="0" borderId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13" fillId="0" borderId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13" fillId="0" borderId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13" fillId="0" borderId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13" fillId="0" borderId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13" fillId="0" borderId="0"/>
    <xf numFmtId="0" fontId="51" fillId="0" borderId="38" applyNumberFormat="0" applyFill="0" applyAlignment="0" applyProtection="0"/>
    <xf numFmtId="0" fontId="13" fillId="0" borderId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13" fillId="0" borderId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13" fillId="0" borderId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13" fillId="0" borderId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13" fillId="0" borderId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13" fillId="0" borderId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13" fillId="0" borderId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47" fillId="0" borderId="0"/>
    <xf numFmtId="0" fontId="47" fillId="0" borderId="0"/>
    <xf numFmtId="0" fontId="13" fillId="0" borderId="0"/>
    <xf numFmtId="232" fontId="106" fillId="0" borderId="0">
      <alignment horizontal="left"/>
    </xf>
    <xf numFmtId="0" fontId="13" fillId="0" borderId="0"/>
    <xf numFmtId="0" fontId="107" fillId="0" borderId="0">
      <alignment vertical="top"/>
    </xf>
    <xf numFmtId="0" fontId="13" fillId="0" borderId="0"/>
    <xf numFmtId="165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233" fontId="48" fillId="0" borderId="0" applyFont="0" applyFill="0" applyBorder="0" applyAlignment="0" applyProtection="0"/>
    <xf numFmtId="234" fontId="13" fillId="0" borderId="0" applyFont="0" applyFill="0" applyBorder="0" applyAlignment="0" applyProtection="0"/>
    <xf numFmtId="235" fontId="13" fillId="0" borderId="0" applyFont="0" applyFill="0" applyBorder="0" applyAlignment="0" applyProtection="0"/>
    <xf numFmtId="0" fontId="108" fillId="0" borderId="0" applyNumberFormat="0" applyFill="0" applyBorder="0" applyAlignment="0" applyProtection="0"/>
    <xf numFmtId="0" fontId="13" fillId="0" borderId="0"/>
    <xf numFmtId="0" fontId="108" fillId="0" borderId="0" applyNumberFormat="0" applyFill="0" applyBorder="0" applyAlignment="0" applyProtection="0"/>
    <xf numFmtId="0" fontId="13" fillId="0" borderId="0"/>
    <xf numFmtId="0" fontId="108" fillId="0" borderId="0" applyNumberFormat="0" applyFill="0" applyBorder="0" applyAlignment="0" applyProtection="0"/>
    <xf numFmtId="0" fontId="13" fillId="0" borderId="0"/>
    <xf numFmtId="0" fontId="108" fillId="0" borderId="0" applyNumberFormat="0" applyFill="0" applyBorder="0" applyAlignment="0" applyProtection="0"/>
    <xf numFmtId="0" fontId="13" fillId="0" borderId="0"/>
    <xf numFmtId="0" fontId="13" fillId="0" borderId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08" fillId="0" borderId="0" applyNumberFormat="0" applyFill="0" applyBorder="0" applyAlignment="0" applyProtection="0"/>
    <xf numFmtId="0" fontId="13" fillId="0" borderId="0"/>
    <xf numFmtId="0" fontId="108" fillId="0" borderId="0" applyNumberFormat="0" applyFill="0" applyBorder="0" applyAlignment="0" applyProtection="0"/>
    <xf numFmtId="0" fontId="13" fillId="0" borderId="0"/>
    <xf numFmtId="0" fontId="108" fillId="0" borderId="0" applyNumberFormat="0" applyFill="0" applyBorder="0" applyAlignment="0" applyProtection="0"/>
    <xf numFmtId="0" fontId="13" fillId="0" borderId="0"/>
    <xf numFmtId="0" fontId="108" fillId="0" borderId="0" applyNumberFormat="0" applyFill="0" applyBorder="0" applyAlignment="0" applyProtection="0"/>
    <xf numFmtId="0" fontId="13" fillId="0" borderId="0"/>
    <xf numFmtId="0" fontId="108" fillId="0" borderId="0" applyNumberFormat="0" applyFill="0" applyBorder="0" applyAlignment="0" applyProtection="0"/>
    <xf numFmtId="0" fontId="13" fillId="0" borderId="0"/>
    <xf numFmtId="0" fontId="108" fillId="0" borderId="0" applyNumberFormat="0" applyFill="0" applyBorder="0" applyAlignment="0" applyProtection="0"/>
    <xf numFmtId="0" fontId="13" fillId="0" borderId="0"/>
    <xf numFmtId="0" fontId="108" fillId="0" borderId="0" applyNumberFormat="0" applyFill="0" applyBorder="0" applyAlignment="0" applyProtection="0"/>
    <xf numFmtId="0" fontId="13" fillId="0" borderId="0"/>
    <xf numFmtId="0" fontId="15" fillId="0" borderId="0">
      <alignment horizontal="left"/>
    </xf>
    <xf numFmtId="0" fontId="13" fillId="0" borderId="0"/>
    <xf numFmtId="0" fontId="109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3" fillId="0" borderId="0"/>
    <xf numFmtId="0" fontId="111" fillId="0" borderId="0" applyNumberFormat="0" applyFill="0" applyBorder="0" applyAlignment="0" applyProtection="0"/>
    <xf numFmtId="40" fontId="13" fillId="0" borderId="0" applyFill="0" applyBorder="0" applyAlignment="0" applyProtection="0"/>
    <xf numFmtId="38" fontId="13" fillId="0" borderId="0" applyFill="0" applyBorder="0" applyAlignment="0" applyProtection="0"/>
    <xf numFmtId="0" fontId="13" fillId="0" borderId="0" applyFill="0" applyBorder="0" applyAlignment="0" applyProtection="0"/>
    <xf numFmtId="0" fontId="13" fillId="0" borderId="0" applyFill="0" applyBorder="0" applyAlignment="0" applyProtection="0"/>
    <xf numFmtId="0" fontId="112" fillId="0" borderId="0"/>
    <xf numFmtId="0" fontId="113" fillId="0" borderId="0"/>
    <xf numFmtId="0" fontId="13" fillId="0" borderId="0"/>
    <xf numFmtId="0" fontId="13" fillId="0" borderId="0"/>
    <xf numFmtId="0" fontId="13" fillId="0" borderId="0"/>
    <xf numFmtId="236" fontId="13" fillId="0" borderId="0" applyFill="0" applyBorder="0" applyAlignment="0" applyProtection="0"/>
    <xf numFmtId="237" fontId="13" fillId="0" borderId="0" applyFill="0" applyBorder="0" applyAlignment="0" applyProtection="0"/>
    <xf numFmtId="0" fontId="13" fillId="0" borderId="0"/>
    <xf numFmtId="210" fontId="114" fillId="0" borderId="0" applyFont="0" applyFill="0" applyBorder="0" applyAlignment="0" applyProtection="0"/>
    <xf numFmtId="211" fontId="114" fillId="0" borderId="0" applyFont="0" applyFill="0" applyBorder="0" applyAlignment="0" applyProtection="0"/>
    <xf numFmtId="0" fontId="114" fillId="0" borderId="0"/>
    <xf numFmtId="1" fontId="13" fillId="0" borderId="0" applyFill="0" applyBorder="0" applyAlignment="0" applyProtection="0"/>
    <xf numFmtId="1" fontId="13" fillId="0" borderId="0" applyFill="0" applyBorder="0" applyAlignment="0" applyProtection="0"/>
    <xf numFmtId="0" fontId="13" fillId="0" borderId="0"/>
    <xf numFmtId="0" fontId="13" fillId="0" borderId="0"/>
    <xf numFmtId="0" fontId="13" fillId="0" borderId="0"/>
    <xf numFmtId="49" fontId="13" fillId="0" borderId="0" applyFill="0" applyBorder="0" applyAlignment="0" applyProtection="0"/>
    <xf numFmtId="49" fontId="13" fillId="0" borderId="0" applyFill="0" applyBorder="0" applyAlignment="0" applyProtection="0"/>
    <xf numFmtId="0" fontId="13" fillId="0" borderId="0"/>
    <xf numFmtId="0" fontId="13" fillId="0" borderId="0"/>
    <xf numFmtId="0" fontId="13" fillId="0" borderId="0"/>
    <xf numFmtId="49" fontId="13" fillId="0" borderId="0" applyFill="0" applyBorder="0" applyProtection="0">
      <alignment vertical="top" wrapText="1"/>
    </xf>
    <xf numFmtId="49" fontId="13" fillId="0" borderId="0" applyFill="0" applyBorder="0" applyProtection="0">
      <alignment vertical="top" wrapText="1"/>
    </xf>
    <xf numFmtId="0" fontId="13" fillId="0" borderId="0"/>
    <xf numFmtId="0" fontId="13" fillId="0" borderId="0"/>
    <xf numFmtId="0" fontId="13" fillId="0" borderId="0"/>
    <xf numFmtId="14" fontId="13" fillId="0" borderId="0" applyFill="0" applyBorder="0" applyAlignment="0" applyProtection="0"/>
    <xf numFmtId="14" fontId="13" fillId="0" borderId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47" fillId="0" borderId="0"/>
    <xf numFmtId="0" fontId="115" fillId="0" borderId="0">
      <alignment horizontal="center" vertical="center"/>
    </xf>
    <xf numFmtId="0" fontId="13" fillId="0" borderId="0"/>
    <xf numFmtId="219" fontId="13" fillId="0" borderId="0" applyFill="0" applyBorder="0" applyAlignment="0" applyProtection="0"/>
    <xf numFmtId="169" fontId="13" fillId="0" borderId="0" applyFill="0" applyBorder="0" applyAlignment="0" applyProtection="0"/>
    <xf numFmtId="0" fontId="14" fillId="0" borderId="0"/>
    <xf numFmtId="0" fontId="14" fillId="0" borderId="0">
      <alignment vertical="center"/>
    </xf>
    <xf numFmtId="0" fontId="13" fillId="0" borderId="0"/>
    <xf numFmtId="0" fontId="68" fillId="0" borderId="0"/>
    <xf numFmtId="0" fontId="13" fillId="0" borderId="0"/>
    <xf numFmtId="0" fontId="68" fillId="0" borderId="39">
      <alignment horizontal="center" vertical="center"/>
    </xf>
    <xf numFmtId="0" fontId="68" fillId="0" borderId="39">
      <alignment horizontal="center" vertical="center"/>
    </xf>
    <xf numFmtId="0" fontId="68" fillId="0" borderId="39">
      <alignment horizontal="center" vertical="center"/>
    </xf>
    <xf numFmtId="0" fontId="68" fillId="0" borderId="39">
      <alignment horizontal="center" vertical="center"/>
    </xf>
    <xf numFmtId="0" fontId="68" fillId="0" borderId="39">
      <alignment horizontal="center" vertical="center"/>
    </xf>
    <xf numFmtId="0" fontId="68" fillId="0" borderId="39">
      <alignment horizontal="center" vertical="center"/>
    </xf>
    <xf numFmtId="0" fontId="13" fillId="0" borderId="0"/>
    <xf numFmtId="0" fontId="68" fillId="0" borderId="39">
      <alignment horizontal="center" vertical="center"/>
    </xf>
    <xf numFmtId="0" fontId="68" fillId="0" borderId="39">
      <alignment horizontal="center" vertical="center"/>
    </xf>
    <xf numFmtId="0" fontId="68" fillId="0" borderId="39">
      <alignment horizontal="center" vertical="center"/>
    </xf>
    <xf numFmtId="0" fontId="68" fillId="0" borderId="39">
      <alignment horizontal="center" vertical="center"/>
    </xf>
    <xf numFmtId="0" fontId="116" fillId="0" borderId="0" applyNumberFormat="0" applyFill="0" applyBorder="0" applyAlignment="0" applyProtection="0"/>
    <xf numFmtId="238" fontId="13" fillId="0" borderId="0" applyFill="0" applyBorder="0" applyAlignment="0" applyProtection="0"/>
    <xf numFmtId="239" fontId="13" fillId="0" borderId="0" applyFill="0" applyBorder="0" applyAlignment="0" applyProtection="0"/>
    <xf numFmtId="0" fontId="13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85" fillId="0" borderId="0"/>
    <xf numFmtId="0" fontId="12" fillId="85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86" borderId="0" applyNumberFormat="0" applyBorder="0" applyAlignment="0" applyProtection="0"/>
    <xf numFmtId="0" fontId="12" fillId="33" borderId="0" applyNumberFormat="0" applyBorder="0" applyAlignment="0" applyProtection="0"/>
    <xf numFmtId="0" fontId="12" fillId="87" borderId="0" applyNumberFormat="0" applyBorder="0" applyAlignment="0" applyProtection="0"/>
    <xf numFmtId="0" fontId="12" fillId="39" borderId="0" applyNumberFormat="0" applyBorder="0" applyAlignment="0" applyProtection="0"/>
    <xf numFmtId="0" fontId="12" fillId="41" borderId="0" applyNumberFormat="0" applyBorder="0" applyAlignment="0" applyProtection="0"/>
    <xf numFmtId="0" fontId="12" fillId="44" borderId="0" applyNumberFormat="0" applyBorder="0" applyAlignment="0" applyProtection="0"/>
    <xf numFmtId="0" fontId="12" fillId="86" borderId="0" applyNumberFormat="0" applyBorder="0" applyAlignment="0" applyProtection="0"/>
    <xf numFmtId="0" fontId="12" fillId="39" borderId="0" applyNumberFormat="0" applyBorder="0" applyAlignment="0" applyProtection="0"/>
    <xf numFmtId="0" fontId="12" fillId="48" borderId="0" applyNumberFormat="0" applyBorder="0" applyAlignment="0" applyProtection="0"/>
    <xf numFmtId="0" fontId="33" fillId="88" borderId="13" applyNumberFormat="0" applyAlignment="0" applyProtection="0"/>
    <xf numFmtId="0" fontId="73" fillId="87" borderId="13" applyNumberFormat="0" applyAlignment="0" applyProtection="0"/>
    <xf numFmtId="0" fontId="85" fillId="77" borderId="35" applyNumberFormat="0" applyAlignment="0" applyProtection="0"/>
    <xf numFmtId="0" fontId="89" fillId="88" borderId="36" applyNumberFormat="0" applyAlignment="0" applyProtection="0"/>
    <xf numFmtId="9" fontId="13" fillId="0" borderId="0" applyFill="0" applyBorder="0" applyAlignment="0" applyProtection="0"/>
    <xf numFmtId="0" fontId="85" fillId="0" borderId="0"/>
    <xf numFmtId="0" fontId="117" fillId="0" borderId="0"/>
    <xf numFmtId="0" fontId="73" fillId="87" borderId="13" applyNumberFormat="0" applyAlignment="0" applyProtection="0"/>
    <xf numFmtId="0" fontId="85" fillId="77" borderId="35" applyNumberFormat="0" applyAlignment="0" applyProtection="0"/>
    <xf numFmtId="9" fontId="13" fillId="0" borderId="0" applyFill="0" applyBorder="0" applyAlignment="0" applyProtection="0"/>
    <xf numFmtId="0" fontId="117" fillId="0" borderId="0"/>
    <xf numFmtId="0" fontId="85" fillId="0" borderId="0"/>
    <xf numFmtId="0" fontId="73" fillId="87" borderId="13" applyNumberFormat="0" applyAlignment="0" applyProtection="0"/>
    <xf numFmtId="0" fontId="85" fillId="77" borderId="35" applyNumberFormat="0" applyAlignment="0" applyProtection="0"/>
    <xf numFmtId="9" fontId="13" fillId="0" borderId="0" applyFill="0" applyBorder="0" applyAlignment="0" applyProtection="0"/>
    <xf numFmtId="0" fontId="117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72">
    <xf numFmtId="0" fontId="0" fillId="0" borderId="0" xfId="0"/>
    <xf numFmtId="0" fontId="0" fillId="0" borderId="1" xfId="0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quotePrefix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3" fillId="0" borderId="2" xfId="0" quotePrefix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49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3" fillId="0" borderId="2" xfId="0" quotePrefix="1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0" fillId="0" borderId="8" xfId="0" applyBorder="1"/>
    <xf numFmtId="0" fontId="2" fillId="6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1" fillId="2" borderId="5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center"/>
    </xf>
    <xf numFmtId="0" fontId="0" fillId="4" borderId="8" xfId="0" applyFill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3" borderId="2" xfId="0" quotePrefix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2" fillId="3" borderId="1" xfId="0" applyFont="1" applyFill="1" applyBorder="1"/>
    <xf numFmtId="0" fontId="2" fillId="3" borderId="3" xfId="0" applyFont="1" applyFill="1" applyBorder="1"/>
    <xf numFmtId="49" fontId="0" fillId="3" borderId="2" xfId="0" applyNumberFormat="1" applyFill="1" applyBorder="1" applyAlignment="1">
      <alignment horizontal="center" vertical="center"/>
    </xf>
    <xf numFmtId="49" fontId="0" fillId="3" borderId="2" xfId="0" quotePrefix="1" applyNumberForma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2" fillId="3" borderId="8" xfId="0" applyFont="1" applyFill="1" applyBorder="1"/>
    <xf numFmtId="0" fontId="2" fillId="3" borderId="9" xfId="0" applyFont="1" applyFill="1" applyBorder="1"/>
    <xf numFmtId="0" fontId="0" fillId="89" borderId="1" xfId="0" applyFill="1" applyBorder="1"/>
    <xf numFmtId="0" fontId="10" fillId="2" borderId="1" xfId="0" applyFont="1" applyFill="1" applyBorder="1"/>
    <xf numFmtId="0" fontId="7" fillId="0" borderId="2" xfId="0" applyFont="1" applyBorder="1" applyAlignment="1">
      <alignment vertical="center" wrapText="1"/>
    </xf>
    <xf numFmtId="0" fontId="6" fillId="90" borderId="1" xfId="0" applyFont="1" applyFill="1" applyBorder="1" applyAlignment="1">
      <alignment horizontal="center" vertical="center" wrapText="1"/>
    </xf>
    <xf numFmtId="0" fontId="6" fillId="90" borderId="1" xfId="0" applyFont="1" applyFill="1" applyBorder="1" applyAlignment="1">
      <alignment vertical="center" wrapText="1"/>
    </xf>
    <xf numFmtId="0" fontId="6" fillId="90" borderId="1" xfId="0" applyFont="1" applyFill="1" applyBorder="1" applyAlignment="1">
      <alignment vertical="center"/>
    </xf>
    <xf numFmtId="0" fontId="6" fillId="90" borderId="1" xfId="0" applyFont="1" applyFill="1" applyBorder="1" applyAlignment="1">
      <alignment horizontal="center" vertical="center"/>
    </xf>
    <xf numFmtId="0" fontId="6" fillId="90" borderId="2" xfId="0" applyFont="1" applyFill="1" applyBorder="1" applyAlignment="1">
      <alignment horizontal="center" vertical="center"/>
    </xf>
    <xf numFmtId="0" fontId="0" fillId="2" borderId="1" xfId="0" applyFill="1" applyBorder="1"/>
    <xf numFmtId="0" fontId="0" fillId="90" borderId="1" xfId="0" applyFill="1" applyBorder="1"/>
    <xf numFmtId="0" fontId="7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</cellXfs>
  <cellStyles count="3827">
    <cellStyle name=" 1" xfId="2" xr:uid="{E7885A3F-177D-461E-9B81-249201CC974E}"/>
    <cellStyle name=" 2" xfId="3" xr:uid="{62ECE20B-66BC-4D2F-9E33-393B56FDA700}"/>
    <cellStyle name=" 3" xfId="4" xr:uid="{2A22ED73-0A9A-4DFD-ADF0-FA1DCFB2CA1F}"/>
    <cellStyle name=" 4" xfId="5" xr:uid="{FA61A074-4524-41AB-847B-B0CB869A1971}"/>
    <cellStyle name=" 5" xfId="6" xr:uid="{BBBD6BE0-3788-4D7B-A238-ADAA6B7633E2}"/>
    <cellStyle name="???" xfId="7" xr:uid="{1E61243C-D97F-4372-9D56-7BF5998CC33F}"/>
    <cellStyle name="@ET_Style?CF_Style_1" xfId="8" xr:uid="{63E4927C-9B7B-4983-9E5F-561D1BD7F54E}"/>
    <cellStyle name="_Book1 Chart 1" xfId="9" xr:uid="{45BEE2CE-F1BD-496A-BA9A-0102A37023B2}"/>
    <cellStyle name="_Book1 Chart 1_1" xfId="10" xr:uid="{FF768E7F-285F-4D60-8570-E2FDAF0BB3EB}"/>
    <cellStyle name="_Book1 Chart 1_1_LM 17-18 DPSAC - NEW - R02" xfId="11" xr:uid="{947600EF-C56D-47F1-BB4E-28944C196C00}"/>
    <cellStyle name="_Book1 Chart 1_2" xfId="12" xr:uid="{99317148-370F-4FDF-A411-223BDEA9E84A}"/>
    <cellStyle name="_Book1 Chart 1_2_LM 17-18 DPSAC - NEW - R02" xfId="13" xr:uid="{BB56197E-DE74-4B04-8972-C120A3B563B3}"/>
    <cellStyle name="_Book1 Chart 1_3" xfId="14" xr:uid="{B59021FD-4803-4129-830D-E1E5B064FAE4}"/>
    <cellStyle name="_Book1 Chart 1_3_LM 17-18 DPSAC - NEW - R02" xfId="15" xr:uid="{BFF9DA77-D592-45BF-ACCE-75330B892281}"/>
    <cellStyle name="_Book1 Chart 1_4" xfId="16" xr:uid="{CF0652DA-C434-4CF2-B6F9-27D956E445C2}"/>
    <cellStyle name="_Book1 Chart 1_4_LM 17-18 DPSAC - NEW - R02" xfId="17" xr:uid="{CE25813E-AC4E-4288-9C97-FA82F16708F2}"/>
    <cellStyle name="_Book1 Chart 1_5" xfId="18" xr:uid="{F8762313-ED56-478A-9078-FF9F841A5D8B}"/>
    <cellStyle name="_Book1 Chart 1_5_LM 17-18 DPSAC - NEW - R02" xfId="19" xr:uid="{5530F7BE-3F11-4D1C-A85E-557DA70D6EF6}"/>
    <cellStyle name="_Book1 Chart 1_6" xfId="20" xr:uid="{01812D89-F9E2-4AF3-8B92-70A891B79853}"/>
    <cellStyle name="_Book1 Chart 1_6_LM 17-18 DPSAC - NEW - R02" xfId="21" xr:uid="{D9687F9E-FA06-474E-9848-C90B7545B0AF}"/>
    <cellStyle name="_Book1 Chart 1_7" xfId="22" xr:uid="{C91145EE-456A-4DE0-9776-E23F6A805BDC}"/>
    <cellStyle name="_Book1 Chart 1_7_LM 17-18 DPSAC - NEW - R02" xfId="23" xr:uid="{97CD509D-FEC4-4C41-8F84-02605679B8C0}"/>
    <cellStyle name="_Book1 Chart 1_8" xfId="24" xr:uid="{2E0DBA7D-1707-45B6-AA50-22D78B092A6A}"/>
    <cellStyle name="_Book1 Chart 1_8_LM 17-18 DPSAC - NEW - R02" xfId="25" xr:uid="{7D6BC2AD-378D-42DF-AF32-8A8B012014AD}"/>
    <cellStyle name="_Book1 Chart 1_9" xfId="26" xr:uid="{FFA1016F-424B-437A-B9D3-93AABB5796FE}"/>
    <cellStyle name="_Book1 Chart 1_9_LM 17-18 DPSAC - NEW - R02" xfId="27" xr:uid="{73FC4CE3-10D7-405C-A7C6-45368624BF7E}"/>
    <cellStyle name="_Book1 Chart 1_A" xfId="28" xr:uid="{EB10DDED-8031-4AD5-AEE6-C67A500B20C5}"/>
    <cellStyle name="_Book1 Chart 1_A_LM 17-18 DPSAC - NEW - R02" xfId="29" xr:uid="{78C08914-2574-468F-B601-BF89A31571B9}"/>
    <cellStyle name="_Book1 Chart 1_B" xfId="30" xr:uid="{AA78D76E-770A-4349-88B8-51CCDA96C0FC}"/>
    <cellStyle name="_Book1 Chart 1_B_LM 17-18 DPSAC - NEW - R02" xfId="31" xr:uid="{1D3832B1-0D96-4A2C-BB57-6552A6B241C9}"/>
    <cellStyle name="_Book1 Chart 1_LM 17-18 DPSAC - NEW - R02" xfId="32" xr:uid="{CFEA4E1E-35BE-450F-969F-8536365198A6}"/>
    <cellStyle name="_Book3 Chart 1" xfId="33" xr:uid="{28C15A27-8BAF-49C4-A47A-65652590F108}"/>
    <cellStyle name="_Book3 Chart 1_1" xfId="34" xr:uid="{B04C77AF-0AEF-4104-A947-C590C722E4B3}"/>
    <cellStyle name="_Book3 Chart 1_1_LM 17-18 DPSAC - NEW - R02" xfId="35" xr:uid="{54427B7A-080F-4CF3-B7E9-BD629D8840C9}"/>
    <cellStyle name="_Book3 Chart 1_2" xfId="36" xr:uid="{FCEBCC18-6FD4-49B8-AF7D-9DE2A8E051EC}"/>
    <cellStyle name="_Book3 Chart 1_2_LM 17-18 DPSAC - NEW - R02" xfId="37" xr:uid="{C8C3BCEB-CADD-43CF-8C4F-6B96BAF5B0BA}"/>
    <cellStyle name="_Book3 Chart 1_3" xfId="38" xr:uid="{214F488E-2FA4-48CD-935D-84ECE092E30B}"/>
    <cellStyle name="_Book3 Chart 1_3_LM 17-18 DPSAC - NEW - R02" xfId="39" xr:uid="{CBB12381-E006-4A13-B2B1-010FD5900F17}"/>
    <cellStyle name="_Book3 Chart 1_4" xfId="40" xr:uid="{D948EC45-3BDE-4775-B467-0B5E5F7884F4}"/>
    <cellStyle name="_Book3 Chart 1_4_LM 17-18 DPSAC - NEW - R02" xfId="41" xr:uid="{286A3159-27C2-4E3C-99F2-FEA35F7BEB5E}"/>
    <cellStyle name="_Book3 Chart 1_5" xfId="42" xr:uid="{AA9A7141-85A6-42BC-BBC8-03CB6AC1BF4F}"/>
    <cellStyle name="_Book3 Chart 1_5_LM 17-18 DPSAC - NEW - R02" xfId="43" xr:uid="{94637D31-EA3E-4E63-80A3-83DFFCDBC644}"/>
    <cellStyle name="_Book3 Chart 1_6" xfId="44" xr:uid="{18D9D3A8-9A39-44F2-B6D6-64D34AE41EBD}"/>
    <cellStyle name="_Book3 Chart 1_6_LM 17-18 DPSAC - NEW - R02" xfId="45" xr:uid="{C0F4B1AC-CA23-498E-8A59-00CFD60D7EEA}"/>
    <cellStyle name="_Book3 Chart 1_7" xfId="46" xr:uid="{5A1E7981-4E12-43E1-8C64-1CAE66FA4EB1}"/>
    <cellStyle name="_Book3 Chart 1_7_LM 17-18 DPSAC - NEW - R02" xfId="47" xr:uid="{3B05410C-7FC9-4119-B43E-6AFBD91524A4}"/>
    <cellStyle name="_Book3 Chart 1_8" xfId="48" xr:uid="{7B22985A-603A-42AC-A1A4-7067635C2EA2}"/>
    <cellStyle name="_Book3 Chart 1_8_LM 17-18 DPSAC - NEW - R02" xfId="49" xr:uid="{DA38D34D-25EF-4F5D-BEEB-445A65248952}"/>
    <cellStyle name="_Book3 Chart 1_9" xfId="50" xr:uid="{0FE059B9-A7C3-4BFE-80B5-A472F7CF92E7}"/>
    <cellStyle name="_Book3 Chart 1_9_LM 17-18 DPSAC - NEW - R02" xfId="51" xr:uid="{39B93704-8666-43EB-8CDB-03E566A1B11E}"/>
    <cellStyle name="_Book3 Chart 1_A" xfId="52" xr:uid="{5818F5CE-6476-48F6-A57D-761161138AC3}"/>
    <cellStyle name="_Book3 Chart 1_A_LM 17-18 DPSAC - NEW - R02" xfId="53" xr:uid="{BA183B99-7A3C-4CF4-83FC-33498BB604C3}"/>
    <cellStyle name="_Book3 Chart 1_Action Sheet" xfId="54" xr:uid="{A0AF87E0-0D50-42E3-89F0-B3CC8C03A54A}"/>
    <cellStyle name="_Book3 Chart 1_Action Sheet_LM 17-18 DPSAC - NEW - R02" xfId="55" xr:uid="{12713C86-C67F-440E-BE72-1F5DCF220576}"/>
    <cellStyle name="_Book3 Chart 1_B" xfId="56" xr:uid="{E13E1D76-1A15-43CF-B720-96E459ED49B5}"/>
    <cellStyle name="_Book3 Chart 1_B_Action Sheet" xfId="57" xr:uid="{EAA6D3DA-1BD1-40C6-8469-5B4EAD3F6779}"/>
    <cellStyle name="_Book3 Chart 1_B_Action Sheet_LM 17-18 DPSAC - NEW - R02" xfId="58" xr:uid="{75233789-2E8E-47A9-BF49-FD4E76DBB9B1}"/>
    <cellStyle name="_Book3 Chart 1_B_Book31" xfId="59" xr:uid="{B2BCD03F-D6BC-448F-A84C-AF9F59D3BF3F}"/>
    <cellStyle name="_Book3 Chart 1_B_Book31_LM 17-18 DPSAC - NEW - R02" xfId="60" xr:uid="{D8E6CA4C-73EB-4079-85FE-FC3CB3B08E63}"/>
    <cellStyle name="_Book3 Chart 1_B_BPD BOARD ISO FORMAT" xfId="61" xr:uid="{CAB70E1A-1A39-484A-B120-F0A77A1ECCB8}"/>
    <cellStyle name="_Book3 Chart 1_B_BPD BOARD ISO FORMAT_LM 17-18 DPSAC - NEW - R02" xfId="62" xr:uid="{515EA935-8210-45CD-9A18-E9AAE11F7B02}"/>
    <cellStyle name="_Book3 Chart 1_B_BPD BOARD ISO FORMAT-2004" xfId="63" xr:uid="{D706904F-09D9-40B5-8661-AEFF104A46DF}"/>
    <cellStyle name="_Book3 Chart 1_B_BPD BOARD ISO FORMAT-2004_LM 17-18 DPSAC - NEW - R02" xfId="64" xr:uid="{ED2AB20B-05A7-480D-B3B2-201131163910}"/>
    <cellStyle name="_Book3 Chart 1_B_FMTCOM060-Quality by Shift " xfId="65" xr:uid="{7FA1EF8D-571E-4FC4-9691-684EFE1B77E0}"/>
    <cellStyle name="_Book3 Chart 1_B_FMTCOM060-Quality by Shift _LM 17-18 DPSAC - NEW - R02" xfId="66" xr:uid="{EA14D39C-2206-4E28-ACCB-E9437101B0C5}"/>
    <cellStyle name="_Book3 Chart 1_B_FMTCOM061-Responsiveness Status" xfId="67" xr:uid="{A4E9C618-91A3-4CD7-971B-F1567F303D8B}"/>
    <cellStyle name="_Book3 Chart 1_B_FMTCOM061-Responsiveness Status_LM 17-18 DPSAC - NEW - R02" xfId="68" xr:uid="{A45D0882-F17F-4A21-A5AC-9798170E79E2}"/>
    <cellStyle name="_Book3 Chart 1_B_FMTCOM062-Cost Status" xfId="69" xr:uid="{DA830C55-243C-428D-8C6A-80913E08D1AF}"/>
    <cellStyle name="_Book3 Chart 1_B_FMTCOM062-Cost Status_LM 17-18 DPSAC - NEW - R02" xfId="70" xr:uid="{0C661A74-3FA7-4CF9-AAAC-39CC8816C33C}"/>
    <cellStyle name="_Book3 Chart 1_B_FMTCOM063-Attendance Status" xfId="71" xr:uid="{0F7DA28D-9E46-4016-B5EF-F1849148960B}"/>
    <cellStyle name="_Book3 Chart 1_B_FMTCOM063-Attendance Status_LM 17-18 DPSAC - NEW - R02" xfId="72" xr:uid="{3F1CE5CF-DFBF-4D9A-8EAD-0E3FCF354C45}"/>
    <cellStyle name="_Book3 Chart 1_B_FMTCOM064-Defect Tracking Sheet" xfId="73" xr:uid="{D0125456-17DC-47DB-99CD-EC7765897FD8}"/>
    <cellStyle name="_Book3 Chart 1_B_FMTCOM064-Defect Tracking Sheet_LM 17-18 DPSAC - NEW - R02" xfId="74" xr:uid="{8D76ECC1-96F9-45B1-825A-6D24C259A921}"/>
    <cellStyle name="_Book3 Chart 1_B_FMTMFGCOM023-Attendance Sheet" xfId="75" xr:uid="{562AE8F8-1005-44E1-B014-7BBAADD35CB4}"/>
    <cellStyle name="_Book3 Chart 1_B_FMTMFGCOM023-Attendance Sheet_LM 17-18 DPSAC - NEW - R02" xfId="76" xr:uid="{7151E6F7-4077-4E21-9764-BE4F83EE769E}"/>
    <cellStyle name="_Book3 Chart 1_B_LM 17-18 DPSAC - NEW - R02" xfId="77" xr:uid="{A3456FB2-2681-4B41-92E7-0ACA3AD3FEA9}"/>
    <cellStyle name="_Book3 Chart 1_Book31" xfId="78" xr:uid="{E1D89224-A626-406D-BBA9-2DBC39CB7372}"/>
    <cellStyle name="_Book3 Chart 1_Book31_LM 17-18 DPSAC - NEW - R02" xfId="79" xr:uid="{FCE59687-8F48-4CE0-85D1-1FA338757D8C}"/>
    <cellStyle name="_Book3 Chart 1_BPD BOARD ISO FORMAT" xfId="80" xr:uid="{814A1A8D-D585-48D0-B993-004C0E1DFAF8}"/>
    <cellStyle name="_Book3 Chart 1_BPD BOARD ISO FORMAT_LM 17-18 DPSAC - NEW - R02" xfId="81" xr:uid="{B66742F2-6A21-4C73-8241-660F21E62940}"/>
    <cellStyle name="_Book3 Chart 1_BPD BOARD ISO FORMAT-2004" xfId="82" xr:uid="{594EE9C0-E2D4-4C9E-A7E6-749336082975}"/>
    <cellStyle name="_Book3 Chart 1_BPD BOARD ISO FORMAT-2004_LM 17-18 DPSAC - NEW - R02" xfId="83" xr:uid="{A350C22C-2D37-4EC3-B486-646933374127}"/>
    <cellStyle name="_Book3 Chart 1_C" xfId="84" xr:uid="{9B9D8113-91D9-4254-BCD4-1ECC546E466C}"/>
    <cellStyle name="_Book3 Chart 1_C_LM 17-18 DPSAC - NEW - R02" xfId="85" xr:uid="{76FFB7C6-B1FF-4D41-8E97-E4CD798D1CDF}"/>
    <cellStyle name="_Book3 Chart 1_D" xfId="86" xr:uid="{75B70652-936B-466F-A235-85893E3D6EC6}"/>
    <cellStyle name="_Book3 Chart 1_D_LM 17-18 DPSAC - NEW - R02" xfId="87" xr:uid="{26F88D00-3820-4958-97DE-C63E439F4F1F}"/>
    <cellStyle name="_Book3 Chart 1_E" xfId="88" xr:uid="{D1954E69-400F-475F-9086-F536C5935A08}"/>
    <cellStyle name="_Book3 Chart 1_E_LM 17-18 DPSAC - NEW - R02" xfId="89" xr:uid="{5175AB84-53C5-4CC6-ACB8-53FD29842782}"/>
    <cellStyle name="_Book3 Chart 1_FMTCOM060-Quality by Shift " xfId="90" xr:uid="{3E2A055E-F860-4469-8414-F667BB6B30D4}"/>
    <cellStyle name="_Book3 Chart 1_FMTCOM060-Quality by Shift _LM 17-18 DPSAC - NEW - R02" xfId="91" xr:uid="{E14A24BE-8001-421C-82B4-0390B8D95CDE}"/>
    <cellStyle name="_Book3 Chart 1_FMTCOM061-Responsiveness Status" xfId="92" xr:uid="{DC8CD393-556E-4774-B6D6-5644297ED3F7}"/>
    <cellStyle name="_Book3 Chart 1_FMTCOM061-Responsiveness Status_LM 17-18 DPSAC - NEW - R02" xfId="93" xr:uid="{86F748F2-4C75-42C0-959F-14D7658A0950}"/>
    <cellStyle name="_Book3 Chart 1_FMTCOM062-Cost Status" xfId="94" xr:uid="{5B046017-1FFB-4177-901C-315D1BBA5C28}"/>
    <cellStyle name="_Book3 Chart 1_FMTCOM062-Cost Status_LM 17-18 DPSAC - NEW - R02" xfId="95" xr:uid="{050C928B-8467-4F88-A04F-9DB51BA7047D}"/>
    <cellStyle name="_Book3 Chart 1_FMTCOM063-Attendance Status" xfId="96" xr:uid="{267B56DA-755C-4A04-8587-5EB5AC234B97}"/>
    <cellStyle name="_Book3 Chart 1_FMTCOM063-Attendance Status_LM 17-18 DPSAC - NEW - R02" xfId="97" xr:uid="{8B94E292-FF40-4583-9DFE-BECD8C7498D1}"/>
    <cellStyle name="_Book3 Chart 1_FMTCOM064-Defect Tracking Sheet" xfId="98" xr:uid="{A950ADEA-8130-4A73-9F01-0D8691B17DDF}"/>
    <cellStyle name="_Book3 Chart 1_FMTCOM064-Defect Tracking Sheet_LM 17-18 DPSAC - NEW - R02" xfId="99" xr:uid="{4EEE3EAB-ADED-4B66-8FDF-FCB202720918}"/>
    <cellStyle name="_Book3 Chart 1_FMTMFGCOM023-Attendance Sheet" xfId="100" xr:uid="{85B934D3-03A2-41F3-8180-9401132F8B80}"/>
    <cellStyle name="_Book3 Chart 1_FMTMFGCOM023-Attendance Sheet_LM 17-18 DPSAC - NEW - R02" xfId="101" xr:uid="{ECDA21A3-CC6E-4A3D-815D-CF45797351D2}"/>
    <cellStyle name="_Book3 Chart 1_LM 17-18 DPSAC - NEW - R02" xfId="102" xr:uid="{D2719987-1ABE-4A30-A1CC-51150568965D}"/>
    <cellStyle name="_Column1" xfId="103" xr:uid="{2AC2367F-3D28-4C17-AD6B-ED6C7D90C4D9}"/>
    <cellStyle name="_Column2" xfId="104" xr:uid="{72DD1BBA-F7AA-43C6-9B11-D88A69A4C7A9}"/>
    <cellStyle name="_Column3" xfId="105" xr:uid="{C55A5128-8785-474A-9B75-78FB21ED7619}"/>
    <cellStyle name="_Column4" xfId="106" xr:uid="{9766DF44-41E6-4570-BF2C-6EDC7DC291FD}"/>
    <cellStyle name="_Column5" xfId="107" xr:uid="{F9126A3A-CE15-40C9-BEFA-D37C1AC94CC7}"/>
    <cellStyle name="_Column6" xfId="108" xr:uid="{0F0B5244-AFF5-4D37-AE8C-C17393195451}"/>
    <cellStyle name="_Column7" xfId="109" xr:uid="{3F7501A9-5879-4A82-BD3C-2FFE89A81263}"/>
    <cellStyle name="_compile.xls Chart 3" xfId="110" xr:uid="{16BD72D4-5ECD-46E7-9D31-D9C72580664F}"/>
    <cellStyle name="_compile.xls Chart 3_1" xfId="111" xr:uid="{77E8CBAF-9562-4CAF-92BD-38E71AB87706}"/>
    <cellStyle name="_compile.xls Chart 3_1_LM 17-18 DPSAC - NEW - R02" xfId="112" xr:uid="{3FF0F7EC-F94D-4D88-A543-8BECADDB90FF}"/>
    <cellStyle name="_compile.xls Chart 3_2" xfId="113" xr:uid="{B0ACEBF5-4994-4DCE-9E4B-89E0587C0B71}"/>
    <cellStyle name="_compile.xls Chart 3_2_LM 17-18 DPSAC - NEW - R02" xfId="114" xr:uid="{C0BD4C62-C137-4C89-BEC2-A3231EBF2220}"/>
    <cellStyle name="_compile.xls Chart 3_3" xfId="115" xr:uid="{A4F60799-9C63-4B53-894C-24B3214CAE74}"/>
    <cellStyle name="_compile.xls Chart 3_3_LM 17-18 DPSAC - NEW - R02" xfId="116" xr:uid="{6BFD640F-CAA5-4ED3-899E-AE0887D62D12}"/>
    <cellStyle name="_compile.xls Chart 3_4" xfId="117" xr:uid="{769E90A1-F644-4CF5-8022-54EA01ACC0C3}"/>
    <cellStyle name="_compile.xls Chart 3_4_LM 17-18 DPSAC - NEW - R02" xfId="118" xr:uid="{66819140-86DE-4B09-BDF9-7661264680BC}"/>
    <cellStyle name="_compile.xls Chart 3_5" xfId="119" xr:uid="{91D12844-2406-411E-8F6C-7E5E387E7D76}"/>
    <cellStyle name="_compile.xls Chart 3_5_LM 17-18 DPSAC - NEW - R02" xfId="120" xr:uid="{8CA20E3B-4AD0-441D-AFE6-550DA9449892}"/>
    <cellStyle name="_compile.xls Chart 3_6" xfId="121" xr:uid="{B4DC5045-19DF-4D00-9679-1DEA4C1DC0BC}"/>
    <cellStyle name="_compile.xls Chart 3_6_LM 17-18 DPSAC - NEW - R02" xfId="122" xr:uid="{CD88C16D-3C76-4DCB-974C-3F3FCD3C1064}"/>
    <cellStyle name="_compile.xls Chart 3_7" xfId="123" xr:uid="{1EC39EC8-02C8-4BC6-A707-9594FDDEF7EF}"/>
    <cellStyle name="_compile.xls Chart 3_7_LM 17-18 DPSAC - NEW - R02" xfId="124" xr:uid="{C3D894BE-E4AB-4993-9409-59E65B1D2FAF}"/>
    <cellStyle name="_compile.xls Chart 3_8" xfId="125" xr:uid="{47C76CA2-9511-409D-81C9-F38E2047B8F1}"/>
    <cellStyle name="_compile.xls Chart 3_8_LM 17-18 DPSAC - NEW - R02" xfId="126" xr:uid="{978575D4-5B24-4FFC-8610-7EBE751DA79E}"/>
    <cellStyle name="_compile.xls Chart 3_9" xfId="127" xr:uid="{9BFF4752-5E15-4645-81D7-6AB17A302BDF}"/>
    <cellStyle name="_compile.xls Chart 3_9_LM 17-18 DPSAC - NEW - R02" xfId="128" xr:uid="{9A123783-A05E-4516-A145-FB825571E1A3}"/>
    <cellStyle name="_compile.xls Chart 3_A" xfId="129" xr:uid="{B1AA2349-7553-4382-A6E6-62587F89DD21}"/>
    <cellStyle name="_compile.xls Chart 3_A_LM 17-18 DPSAC - NEW - R02" xfId="130" xr:uid="{684518BF-9A4C-413A-8E44-A31015B15F28}"/>
    <cellStyle name="_compile.xls Chart 3_B" xfId="131" xr:uid="{2847D4BC-5AA2-435F-83DC-7D3194CC35C1}"/>
    <cellStyle name="_compile.xls Chart 3_B_LM 17-18 DPSAC - NEW - R02" xfId="132" xr:uid="{03DBEA55-C569-47B2-B7FD-70D9401FA30C}"/>
    <cellStyle name="_compile.xls Chart 3_C" xfId="133" xr:uid="{9314E414-E30C-4CF5-8DDC-934DBF05544E}"/>
    <cellStyle name="_compile.xls Chart 3_C_LM 17-18 DPSAC - NEW - R02" xfId="134" xr:uid="{1FE8CDFF-3E5A-4D13-8CF3-1C869DBC05A1}"/>
    <cellStyle name="_compile.xls Chart 3_D" xfId="135" xr:uid="{B5083B0C-5559-47AC-B16E-26624405B299}"/>
    <cellStyle name="_compile.xls Chart 3_D_LM 17-18 DPSAC - NEW - R02" xfId="136" xr:uid="{D8E509C6-52FA-4123-A9F5-914575E73641}"/>
    <cellStyle name="_compile.xls Chart 3_E" xfId="137" xr:uid="{A515DF60-64C2-4A25-A974-682948EA23A9}"/>
    <cellStyle name="_compile.xls Chart 3_E_LM 17-18 DPSAC - NEW - R02" xfId="138" xr:uid="{AA581E99-24F0-4ECA-94E4-FC6C83DFBA78}"/>
    <cellStyle name="_compile.xls Chart 3_LM 17-18 DPSAC - NEW - R02" xfId="139" xr:uid="{9F1A284F-43D4-4361-821D-EC32101C267C}"/>
    <cellStyle name="_Data" xfId="140" xr:uid="{633E6A49-F387-449E-A07D-125D18A32C83}"/>
    <cellStyle name="_Factory &amp; rejection" xfId="141" xr:uid="{055ABD99-FF56-4F5A-9BFD-E321BD354BAF}"/>
    <cellStyle name="_Factory &amp; rejection_LM 17-18 DPSAC - NEW - R02" xfId="142" xr:uid="{553EA6B3-DBA7-44CD-89A4-05EA95096B80}"/>
    <cellStyle name="_Factory supply &amp; rejection cost" xfId="143" xr:uid="{EBDAB120-1095-42F2-A0A8-E1274D16FE0C}"/>
    <cellStyle name="_Factory supply &amp; rejection cost_LM 17-18 DPSAC - NEW - R02" xfId="144" xr:uid="{603F9B9C-E865-405C-A25C-04A3C823C2B0}"/>
    <cellStyle name="_Header" xfId="145" xr:uid="{328E568E-9998-43F0-8C82-AEC1C0D09DDE}"/>
    <cellStyle name="_Rej trend" xfId="146" xr:uid="{9EB4D6AA-7F84-4A37-99F6-8D4666A0AF78}"/>
    <cellStyle name="_Rej trend.xls Chart 1" xfId="147" xr:uid="{CD4550F3-DFB2-4619-90FA-00C2C6A93DEC}"/>
    <cellStyle name="_Rej trend.xls Chart 1_1" xfId="148" xr:uid="{A409DD8C-35C3-476F-B141-74A90D5BE470}"/>
    <cellStyle name="_Rej trend.xls Chart 1_1_LM 17-18 DPSAC - NEW - R02" xfId="149" xr:uid="{1FD7AFE0-A4AD-4813-8B5B-E769780F3A7F}"/>
    <cellStyle name="_Rej trend.xls Chart 1_2" xfId="150" xr:uid="{16EFDDEF-BC5B-4227-8115-0F0C872B2DCA}"/>
    <cellStyle name="_Rej trend.xls Chart 1_2_LM 17-18 DPSAC - NEW - R02" xfId="151" xr:uid="{4FBA59F3-3100-4DAB-BA4E-5F5F6F0DB35C}"/>
    <cellStyle name="_Rej trend.xls Chart 1_3" xfId="152" xr:uid="{76684FBF-364B-4B26-829E-36100104F321}"/>
    <cellStyle name="_Rej trend.xls Chart 1_3_LM 17-18 DPSAC - NEW - R02" xfId="153" xr:uid="{3875EE88-0E6E-4ABB-A3A1-4D18CD62A186}"/>
    <cellStyle name="_Rej trend.xls Chart 1_4" xfId="154" xr:uid="{4C3E2B6A-098B-43A3-B88A-41161F238588}"/>
    <cellStyle name="_Rej trend.xls Chart 1_4_LM 17-18 DPSAC - NEW - R02" xfId="155" xr:uid="{04524782-1841-4640-A47B-5BC0B3ABC202}"/>
    <cellStyle name="_Rej trend.xls Chart 1_5" xfId="156" xr:uid="{2302D282-8E16-408B-B9A7-3E28825BF424}"/>
    <cellStyle name="_Rej trend.xls Chart 1_5_LM 17-18 DPSAC - NEW - R02" xfId="157" xr:uid="{547AC2AD-5F93-4389-A4D0-A7D18E80CC34}"/>
    <cellStyle name="_Rej trend.xls Chart 1_6" xfId="158" xr:uid="{3CA350D5-B737-477F-81FC-F89AE416B1DF}"/>
    <cellStyle name="_Rej trend.xls Chart 1_6_LM 17-18 DPSAC - NEW - R02" xfId="159" xr:uid="{C898CDA8-A16B-4C38-8D83-899FC039AF66}"/>
    <cellStyle name="_Rej trend.xls Chart 1_7" xfId="160" xr:uid="{51F7753E-7F00-4AF2-9BDD-E37BEB940778}"/>
    <cellStyle name="_Rej trend.xls Chart 1_7_LM 17-18 DPSAC - NEW - R02" xfId="161" xr:uid="{2E96EB5C-D7F8-4A70-B7DC-B17D5FF9E1D9}"/>
    <cellStyle name="_Rej trend.xls Chart 1_8" xfId="162" xr:uid="{4865F579-C1A8-4E2E-BECD-116BF62E85FF}"/>
    <cellStyle name="_Rej trend.xls Chart 1_8_LM 17-18 DPSAC - NEW - R02" xfId="163" xr:uid="{36E34207-22F2-4341-A1CD-9BB559035CEB}"/>
    <cellStyle name="_Rej trend.xls Chart 1_9" xfId="164" xr:uid="{950F52DC-CBB9-4C13-B1DA-644A23AC82F6}"/>
    <cellStyle name="_Rej trend.xls Chart 1_9_LM 17-18 DPSAC - NEW - R02" xfId="165" xr:uid="{76FC8EE7-6AA9-499B-9043-F72A4D9EAFA8}"/>
    <cellStyle name="_Rej trend.xls Chart 1_A" xfId="166" xr:uid="{42409BEE-3083-45F7-9EC0-EF2BC79E9479}"/>
    <cellStyle name="_Rej trend.xls Chart 1_A_LM 17-18 DPSAC - NEW - R02" xfId="167" xr:uid="{E6887BC1-CB05-42BF-92BD-23E0CD162D79}"/>
    <cellStyle name="_Rej trend.xls Chart 1_B" xfId="168" xr:uid="{59011523-2645-46F3-8B82-4BA2825D1F39}"/>
    <cellStyle name="_Rej trend.xls Chart 1_B_LM 17-18 DPSAC - NEW - R02" xfId="169" xr:uid="{073C5FAC-B695-48DA-B1FC-E96078F67511}"/>
    <cellStyle name="_Rej trend.xls Chart 1_LM 17-18 DPSAC - NEW - R02" xfId="170" xr:uid="{A6452375-9048-4141-A559-313A59312D60}"/>
    <cellStyle name="_Rej trend_LM 17-18 DPSAC - NEW - R02" xfId="171" xr:uid="{918C3EAB-70BE-41E7-BCD4-4024660B53F4}"/>
    <cellStyle name="_Rej-QNPS-HK-Prod" xfId="172" xr:uid="{ABEC3597-FA2C-45C1-BBB2-4A8E7FA7E084}"/>
    <cellStyle name="_Rej-QNPS-HK-Prod_1" xfId="173" xr:uid="{5177105E-F586-4C57-9363-CE4CD7B2EA83}"/>
    <cellStyle name="_Rej-QNPS-HK-Prod_1_LM 17-18 DPSAC - NEW - R02" xfId="174" xr:uid="{0FD3B6CC-8762-4435-8773-B28BF701395C}"/>
    <cellStyle name="_Rej-QNPS-HK-Prod_2" xfId="175" xr:uid="{814B2E91-120D-47AB-8B80-22FBE9538411}"/>
    <cellStyle name="_Rej-QNPS-HK-Prod_2_LM 17-18 DPSAC - NEW - R02" xfId="176" xr:uid="{D084C573-DD43-4256-B726-4D66BB874F1D}"/>
    <cellStyle name="_Rej-QNPS-HK-Prod_3" xfId="177" xr:uid="{ABABEE0D-1273-40B9-998B-7CE4392FF4F4}"/>
    <cellStyle name="_Rej-QNPS-HK-Prod_3_LM 17-18 DPSAC - NEW - R02" xfId="178" xr:uid="{82502BF7-ACA0-4C42-A349-8EC21C07EEF6}"/>
    <cellStyle name="_Rej-QNPS-HK-Prod_4" xfId="179" xr:uid="{BBF68E59-FF8D-4228-82DE-82D4F0ECC7B2}"/>
    <cellStyle name="_Rej-QNPS-HK-Prod_4_LM 17-18 DPSAC - NEW - R02" xfId="180" xr:uid="{8725B520-E3DF-4D89-8D5B-F7026189B31F}"/>
    <cellStyle name="_Rej-QNPS-HK-Prod_5" xfId="181" xr:uid="{F7DC80DB-8905-4207-87CB-0425355083A4}"/>
    <cellStyle name="_Rej-QNPS-HK-Prod_5_LM 17-18 DPSAC - NEW - R02" xfId="182" xr:uid="{C8956F11-57BA-4578-915E-04DDA7713B82}"/>
    <cellStyle name="_Rej-QNPS-HK-Prod_6" xfId="183" xr:uid="{D12F0497-6EC6-41D8-AAAA-ACE32A911044}"/>
    <cellStyle name="_Rej-QNPS-HK-Prod_6_LM 17-18 DPSAC - NEW - R02" xfId="184" xr:uid="{DFF20F73-33BC-408F-A898-59FD51594030}"/>
    <cellStyle name="_Rej-QNPS-HK-Prod_7" xfId="185" xr:uid="{E8AEAD98-4928-4C7A-9A95-7A6C5DD75E79}"/>
    <cellStyle name="_Rej-QNPS-HK-Prod_7_LM 17-18 DPSAC - NEW - R02" xfId="186" xr:uid="{F695CD9A-24D7-498A-AC78-E8B768A11DD5}"/>
    <cellStyle name="_Rej-QNPS-HK-Prod_8" xfId="187" xr:uid="{62737C8C-D1B0-47D2-A7BC-B4D9A9947435}"/>
    <cellStyle name="_Rej-QNPS-HK-Prod_8_LM 17-18 DPSAC - NEW - R02" xfId="188" xr:uid="{61285DB6-9081-48A5-9EB2-463E26AAD599}"/>
    <cellStyle name="_Rej-QNPS-HK-Prod_9" xfId="189" xr:uid="{1B614228-D869-41FF-A9BF-1F1FBADB5A70}"/>
    <cellStyle name="_Rej-QNPS-HK-Prod_9_LM 17-18 DPSAC - NEW - R02" xfId="190" xr:uid="{50323778-B7C2-4CD4-BFE8-C985DEAEFD7C}"/>
    <cellStyle name="_Rej-QNPS-HK-Prod_A" xfId="191" xr:uid="{5EE61703-BCA2-4995-BE44-8B9FF68EC97D}"/>
    <cellStyle name="_Rej-QNPS-HK-Prod_A_LM 17-18 DPSAC - NEW - R02" xfId="192" xr:uid="{F671379E-8AA4-42E2-8DB3-16C23D839255}"/>
    <cellStyle name="_Rej-QNPS-HK-Prod_Action Sheet" xfId="193" xr:uid="{B825C7CB-8588-47B0-BE32-F0EB7ABB1E90}"/>
    <cellStyle name="_Rej-QNPS-HK-Prod_Action Sheet_LM 17-18 DPSAC - NEW - R02" xfId="194" xr:uid="{203AAAD9-F4EA-45C6-AE62-648B3775BF6E}"/>
    <cellStyle name="_Rej-QNPS-HK-Prod_B" xfId="195" xr:uid="{17430215-75A8-4C8C-A274-21A78141664C}"/>
    <cellStyle name="_Rej-QNPS-HK-Prod_B_Action Sheet" xfId="196" xr:uid="{A6239A5F-1784-4119-AA0D-B42930944C6D}"/>
    <cellStyle name="_Rej-QNPS-HK-Prod_B_Action Sheet_LM 17-18 DPSAC - NEW - R02" xfId="197" xr:uid="{F514793C-2D3E-49C0-8E3F-073C85B10E02}"/>
    <cellStyle name="_Rej-QNPS-HK-Prod_B_Book31" xfId="198" xr:uid="{0CA3AEA6-8FB0-4526-8A31-D15A19B7115B}"/>
    <cellStyle name="_Rej-QNPS-HK-Prod_B_Book31_LM 17-18 DPSAC - NEW - R02" xfId="199" xr:uid="{C197CCF0-6AB9-433D-849B-15FFD585E73A}"/>
    <cellStyle name="_Rej-QNPS-HK-Prod_B_BPD BOARD ISO FORMAT" xfId="200" xr:uid="{5098D9AF-2246-4DC5-8BD3-EAEDFA37F3DC}"/>
    <cellStyle name="_Rej-QNPS-HK-Prod_B_BPD BOARD ISO FORMAT_LM 17-18 DPSAC - NEW - R02" xfId="201" xr:uid="{62BE128B-AD29-4814-9E0E-153A8C8BF36D}"/>
    <cellStyle name="_Rej-QNPS-HK-Prod_B_BPD BOARD ISO FORMAT-2004" xfId="202" xr:uid="{6646FF02-FCA3-45E9-87A3-3BEF0B46DFE2}"/>
    <cellStyle name="_Rej-QNPS-HK-Prod_B_BPD BOARD ISO FORMAT-2004_LM 17-18 DPSAC - NEW - R02" xfId="203" xr:uid="{BAB0EF18-F4C7-482B-A94D-491E7D6DE9FA}"/>
    <cellStyle name="_Rej-QNPS-HK-Prod_B_FMTCOM060-Quality by Shift " xfId="204" xr:uid="{C5E28D91-48BD-4696-A8FE-8A5CB48E5C88}"/>
    <cellStyle name="_Rej-QNPS-HK-Prod_B_FMTCOM060-Quality by Shift _LM 17-18 DPSAC - NEW - R02" xfId="205" xr:uid="{D0FDB5DE-16BF-49B8-8155-B187CE34E34B}"/>
    <cellStyle name="_Rej-QNPS-HK-Prod_B_FMTCOM061-Responsiveness Status" xfId="206" xr:uid="{7CE9B587-7CC9-438B-9DCD-F678841B678F}"/>
    <cellStyle name="_Rej-QNPS-HK-Prod_B_FMTCOM061-Responsiveness Status_LM 17-18 DPSAC - NEW - R02" xfId="207" xr:uid="{B0E89D7D-6864-4221-B43C-8027E070C949}"/>
    <cellStyle name="_Rej-QNPS-HK-Prod_B_FMTCOM062-Cost Status" xfId="208" xr:uid="{6D5296EC-9FC9-4FAC-8A40-4EED88E7CE8C}"/>
    <cellStyle name="_Rej-QNPS-HK-Prod_B_FMTCOM062-Cost Status_LM 17-18 DPSAC - NEW - R02" xfId="209" xr:uid="{54D233C7-599D-49B2-AA95-46666D88AA4F}"/>
    <cellStyle name="_Rej-QNPS-HK-Prod_B_FMTCOM063-Attendance Status" xfId="210" xr:uid="{EC4BFDB6-3E17-4BBE-830D-3920766A26A1}"/>
    <cellStyle name="_Rej-QNPS-HK-Prod_B_FMTCOM063-Attendance Status_LM 17-18 DPSAC - NEW - R02" xfId="211" xr:uid="{98651378-2569-489D-9B9D-8230C7555814}"/>
    <cellStyle name="_Rej-QNPS-HK-Prod_B_FMTCOM064-Defect Tracking Sheet" xfId="212" xr:uid="{87C70C57-074B-47F3-BAFE-6B57F53DCB4F}"/>
    <cellStyle name="_Rej-QNPS-HK-Prod_B_FMTCOM064-Defect Tracking Sheet_LM 17-18 DPSAC - NEW - R02" xfId="213" xr:uid="{5582813B-A6F2-4721-82F9-7012F80FABE1}"/>
    <cellStyle name="_Rej-QNPS-HK-Prod_B_FMTMFGCOM023-Attendance Sheet" xfId="214" xr:uid="{0ED0CBAA-36C8-4301-9F52-77335B7D7FCA}"/>
    <cellStyle name="_Rej-QNPS-HK-Prod_B_FMTMFGCOM023-Attendance Sheet_LM 17-18 DPSAC - NEW - R02" xfId="215" xr:uid="{DECB3539-339D-4385-B155-0FDE55F4789D}"/>
    <cellStyle name="_Rej-QNPS-HK-Prod_B_LM 17-18 DPSAC - NEW - R02" xfId="216" xr:uid="{56A405D6-7E1C-4B1C-AF77-250DC541E0DA}"/>
    <cellStyle name="_Rej-QNPS-HK-Prod_Book31" xfId="217" xr:uid="{EE5C7505-03ED-4C7E-89CF-ACFB6D037853}"/>
    <cellStyle name="_Rej-QNPS-HK-Prod_Book31_LM 17-18 DPSAC - NEW - R02" xfId="218" xr:uid="{57C16971-EC9A-4CD6-BFFD-48071154E81F}"/>
    <cellStyle name="_Rej-QNPS-HK-Prod_BPD BOARD ISO FORMAT" xfId="219" xr:uid="{D885CDF0-0A9A-4F8D-B200-0B29898E11B3}"/>
    <cellStyle name="_Rej-QNPS-HK-Prod_BPD BOARD ISO FORMAT_LM 17-18 DPSAC - NEW - R02" xfId="220" xr:uid="{7AAB66B4-39D6-4EA3-BFA3-963E9763FDF0}"/>
    <cellStyle name="_Rej-QNPS-HK-Prod_BPD BOARD ISO FORMAT-2004" xfId="221" xr:uid="{F26C25A2-C86E-4144-AB76-175D815DA49A}"/>
    <cellStyle name="_Rej-QNPS-HK-Prod_BPD BOARD ISO FORMAT-2004_LM 17-18 DPSAC - NEW - R02" xfId="222" xr:uid="{F9CBF110-FD90-4640-B8D7-1A74F98E3011}"/>
    <cellStyle name="_Rej-QNPS-HK-Prod_C" xfId="223" xr:uid="{6FA713B6-DBD2-4A44-8287-2F290B8FE983}"/>
    <cellStyle name="_Rej-QNPS-HK-Prod_C_LM 17-18 DPSAC - NEW - R02" xfId="224" xr:uid="{90ED301D-61BB-40BB-92DB-8718F9622942}"/>
    <cellStyle name="_Rej-QNPS-HK-Prod_D" xfId="225" xr:uid="{6D5A682E-D314-4738-9157-36D632DCA36E}"/>
    <cellStyle name="_Rej-QNPS-HK-Prod_D_LM 17-18 DPSAC - NEW - R02" xfId="226" xr:uid="{FF68261C-1140-4743-B87B-7FA23E07DBB9}"/>
    <cellStyle name="_Rej-QNPS-HK-Prod_E" xfId="227" xr:uid="{C98E6E3B-9834-4D97-819E-2FD5A82BA5D2}"/>
    <cellStyle name="_Rej-QNPS-HK-Prod_E_LM 17-18 DPSAC - NEW - R02" xfId="228" xr:uid="{75973EAA-34DF-4E87-BB51-1270CE0BE309}"/>
    <cellStyle name="_Rej-QNPS-HK-Prod_FMTCOM060-Quality by Shift " xfId="229" xr:uid="{8944F123-EFA3-41EF-8C05-0BECDEFD6283}"/>
    <cellStyle name="_Rej-QNPS-HK-Prod_FMTCOM060-Quality by Shift _LM 17-18 DPSAC - NEW - R02" xfId="230" xr:uid="{F91A461D-B3AB-4F9A-B787-7D8A88D5243D}"/>
    <cellStyle name="_Rej-QNPS-HK-Prod_FMTCOM061-Responsiveness Status" xfId="231" xr:uid="{81FDAF28-D561-4EDD-BAAE-44B37C2DF316}"/>
    <cellStyle name="_Rej-QNPS-HK-Prod_FMTCOM061-Responsiveness Status_LM 17-18 DPSAC - NEW - R02" xfId="232" xr:uid="{78F05ABD-0002-40B1-B843-C53BF2FB806C}"/>
    <cellStyle name="_Rej-QNPS-HK-Prod_FMTCOM062-Cost Status" xfId="233" xr:uid="{E27ED8BF-2195-4BEA-913C-21E6C0051738}"/>
    <cellStyle name="_Rej-QNPS-HK-Prod_FMTCOM062-Cost Status_LM 17-18 DPSAC - NEW - R02" xfId="234" xr:uid="{1306DF2E-0366-4CF7-A6A7-FC7E739C7B05}"/>
    <cellStyle name="_Rej-QNPS-HK-Prod_FMTCOM063-Attendance Status" xfId="235" xr:uid="{7A1E3C82-27CC-47C8-AB21-A8051145512C}"/>
    <cellStyle name="_Rej-QNPS-HK-Prod_FMTCOM063-Attendance Status_LM 17-18 DPSAC - NEW - R02" xfId="236" xr:uid="{A9B4F0CE-1AD6-4B2D-B9AF-21C38F0B70C0}"/>
    <cellStyle name="_Rej-QNPS-HK-Prod_FMTCOM064-Defect Tracking Sheet" xfId="237" xr:uid="{A73C7B1F-0955-4A3E-96CB-8C4A2584AB49}"/>
    <cellStyle name="_Rej-QNPS-HK-Prod_FMTCOM064-Defect Tracking Sheet_LM 17-18 DPSAC - NEW - R02" xfId="238" xr:uid="{2D2BE1C8-6640-4C4A-AD08-5970730C7E14}"/>
    <cellStyle name="_Rej-QNPS-HK-Prod_FMTMFGCOM023-Attendance Sheet" xfId="239" xr:uid="{ED582CC0-F52E-44BA-83B9-B9A93542597D}"/>
    <cellStyle name="_Rej-QNPS-HK-Prod_FMTMFGCOM023-Attendance Sheet_LM 17-18 DPSAC - NEW - R02" xfId="240" xr:uid="{19F85A8D-E280-469C-8E80-78980C0E4F4A}"/>
    <cellStyle name="_Rej-QNPS-HK-Prod_LM 17-18 DPSAC - NEW - R02" xfId="241" xr:uid="{67D524E5-6A2A-49E6-9043-3063EA404DF6}"/>
    <cellStyle name="_Row1" xfId="242" xr:uid="{9B18CEAB-1E0E-4CF3-BD70-2F90D216FEFB}"/>
    <cellStyle name="_Row2" xfId="243" xr:uid="{CC41BA5A-21BF-4D51-967C-614AC3ACB496}"/>
    <cellStyle name="_Row3" xfId="244" xr:uid="{81A8B02E-2C4A-4660-AAC4-385171877B04}"/>
    <cellStyle name="_Row4" xfId="245" xr:uid="{A4B65B6B-4F5D-4A7C-8C28-61909109D294}"/>
    <cellStyle name="_Row5" xfId="246" xr:uid="{999FD4C5-1EC9-4F41-B45D-32F83E6C3109}"/>
    <cellStyle name="_Row6" xfId="247" xr:uid="{B3CC197E-5697-420A-9642-5C7288EC0403}"/>
    <cellStyle name="_Row7" xfId="248" xr:uid="{85D5C0C3-B036-42A4-A23A-85C4E3A4F5A2}"/>
    <cellStyle name="_Sheet1" xfId="249" xr:uid="{AF0AD89B-1CFC-4297-910B-7F8B710605CA}"/>
    <cellStyle name="_Sheet1_1" xfId="250" xr:uid="{CCB8C6AE-FAB2-474F-9EE0-BC6E47CF3EE9}"/>
    <cellStyle name="_Sheet1_1_LM 17-18 DPSAC - NEW - R02" xfId="251" xr:uid="{C80DC6D5-0AA8-49B4-84EA-47631AED9C08}"/>
    <cellStyle name="_Sheet1_2" xfId="252" xr:uid="{9BA0A192-A226-4FDF-810E-F16AE8BBA0D0}"/>
    <cellStyle name="_Sheet1_2_LM 17-18 DPSAC - NEW - R02" xfId="253" xr:uid="{79D855BD-EE2A-48EC-8B2B-4C496E4CB5A4}"/>
    <cellStyle name="_Sheet1_3" xfId="254" xr:uid="{5EC1BFDE-FBAF-4122-B8C3-643BE5B1A65A}"/>
    <cellStyle name="_Sheet1_3_LM 17-18 DPSAC - NEW - R02" xfId="255" xr:uid="{0C0A2236-A4E9-4117-830C-F372FC186360}"/>
    <cellStyle name="_Sheet1_4" xfId="256" xr:uid="{417BFA45-1520-452C-9A8C-90A5F6DBD873}"/>
    <cellStyle name="_Sheet1_4_LM 17-18 DPSAC - NEW - R02" xfId="257" xr:uid="{A727F485-06F7-44C6-BC95-62878A0C5424}"/>
    <cellStyle name="_Sheet1_5" xfId="258" xr:uid="{EBF6A721-1F82-4A7B-A372-890D803A3406}"/>
    <cellStyle name="_Sheet1_5_LM 17-18 DPSAC - NEW - R02" xfId="259" xr:uid="{EAAF9B79-1CA7-46E2-907D-9A0C38472B7E}"/>
    <cellStyle name="_Sheet1_LM 17-18 DPSAC - NEW - R02" xfId="260" xr:uid="{5AF547F3-1800-4BE2-9543-44C7B534A3C3}"/>
    <cellStyle name="`_x0010__x0001_ဠ" xfId="261" xr:uid="{189BD8ED-0108-4910-B673-F33394C829D0}"/>
    <cellStyle name="20% - Accent1 10" xfId="262" xr:uid="{7C235BA8-53CD-41D7-8A01-A9284712EE7F}"/>
    <cellStyle name="20% - Accent1 10 2" xfId="263" xr:uid="{E1ACD416-6B34-402E-8934-B7788ED2E19C}"/>
    <cellStyle name="20% - Accent1 10 3" xfId="264" xr:uid="{D15C56D7-73A8-479E-9EBC-418B0D1C6D8D}"/>
    <cellStyle name="20% - Accent1 11" xfId="265" xr:uid="{329FB02B-F2AF-4608-BA5F-442CEC315CCC}"/>
    <cellStyle name="20% - Accent1 11 2" xfId="266" xr:uid="{5373CF6F-039C-4E9B-9E16-C574A80D7B3B}"/>
    <cellStyle name="20% - Accent1 11 3" xfId="267" xr:uid="{7500A51D-96A2-432D-83C9-2FFD23409D2D}"/>
    <cellStyle name="20% - Accent1 12" xfId="268" xr:uid="{F43A83A4-E8CC-495C-A106-DD0BE434F7E1}"/>
    <cellStyle name="20% - Accent1 12 2" xfId="269" xr:uid="{CEF2D641-56AB-458D-9221-2592D8B775BD}"/>
    <cellStyle name="20% - Accent1 12 3" xfId="270" xr:uid="{6E2F397A-E41F-4BE5-B97C-A2689A0E010B}"/>
    <cellStyle name="20% - Accent1 13" xfId="271" xr:uid="{1371CE64-33AE-44DD-BCCE-E1FF109390FB}"/>
    <cellStyle name="20% - Accent1 13 2" xfId="272" xr:uid="{C10E283F-02FC-4B6A-A04E-C02E11672438}"/>
    <cellStyle name="20% - Accent1 13 3" xfId="273" xr:uid="{B918A8B2-1C81-4FE5-894D-A8FEDAE88B3D}"/>
    <cellStyle name="20% - Accent1 14" xfId="274" xr:uid="{43B1FFC6-051D-428C-AECC-4D780043EDA8}"/>
    <cellStyle name="20% - Accent1 15" xfId="3793" xr:uid="{0576C811-C0BC-46C4-9FF3-E61CC85A9937}"/>
    <cellStyle name="20% - Accent1 2" xfId="275" xr:uid="{040F670E-29C6-4F08-9EEF-C76C06202E0E}"/>
    <cellStyle name="20% - Accent1 2 10" xfId="276" xr:uid="{6B7A64AD-BC2D-4587-BF5F-3FE0193A4D1C}"/>
    <cellStyle name="20% - Accent1 2 2" xfId="277" xr:uid="{AF1DDB9C-AD74-4B3F-9567-3C8D80A3A323}"/>
    <cellStyle name="20% - Accent1 2 2 2" xfId="278" xr:uid="{3E9B93EC-814C-4F55-B4EF-10CF57F91AF2}"/>
    <cellStyle name="20% - Accent1 2 3" xfId="279" xr:uid="{BE1859C7-CFC0-4211-B9E1-EFF5833B0655}"/>
    <cellStyle name="20% - Accent1 2 3 2" xfId="280" xr:uid="{73A1B7BC-D162-446B-B97B-F44E2D97117F}"/>
    <cellStyle name="20% - Accent1 2 4" xfId="281" xr:uid="{018C1F40-1117-46EA-8C9B-AF85C667B45F}"/>
    <cellStyle name="20% - Accent1 2 4 2" xfId="282" xr:uid="{A3381DF2-6D13-4055-8979-7F9D15A6B67E}"/>
    <cellStyle name="20% - Accent1 2 5" xfId="283" xr:uid="{3A1185F6-A8A3-4D64-AC56-448A2C187213}"/>
    <cellStyle name="20% - Accent1 2 5 2" xfId="284" xr:uid="{B23E1DDF-CB4E-490B-AC78-EDC0A1A4FD43}"/>
    <cellStyle name="20% - Accent1 2 6" xfId="285" xr:uid="{20FD84BD-3D88-478E-870A-54134056C3BB}"/>
    <cellStyle name="20% - Accent1 2 6 2" xfId="286" xr:uid="{6DB6A85A-2792-4695-97D7-879A48530B88}"/>
    <cellStyle name="20% - Accent1 2 7" xfId="287" xr:uid="{FFFDBFD0-82A3-426B-AAE4-09374D43AAC0}"/>
    <cellStyle name="20% - Accent1 2 7 2" xfId="288" xr:uid="{72FE313A-DEB1-4E54-824E-65E9CECFC9A6}"/>
    <cellStyle name="20% - Accent1 2 8" xfId="289" xr:uid="{123D0079-1E22-455F-939E-6F48B92878A3}"/>
    <cellStyle name="20% - Accent1 2 8 2" xfId="290" xr:uid="{75826325-E6F4-4162-9105-457CA9741CED}"/>
    <cellStyle name="20% - Accent1 2 9" xfId="291" xr:uid="{A2A161CB-0464-46F7-8C30-44EB8F3755A5}"/>
    <cellStyle name="20% - Accent1 2 9 2" xfId="292" xr:uid="{F98DBB3E-5306-4F7F-BDF1-B29557E03160}"/>
    <cellStyle name="20% - Accent1 2_16-17" xfId="293" xr:uid="{333EED60-FFDA-45CE-8A63-1297B738440A}"/>
    <cellStyle name="20% - Accent1 3" xfId="294" xr:uid="{2F7B648D-87FC-4B5B-9090-3C0B375FD9A3}"/>
    <cellStyle name="20% - Accent1 3 2" xfId="295" xr:uid="{E2FB0318-4E9C-4908-8BFC-7FBE0E8F4E5C}"/>
    <cellStyle name="20% - Accent1 3 3" xfId="296" xr:uid="{8960539E-5870-4F4C-AF5B-488441000EB2}"/>
    <cellStyle name="20% - Accent1 4" xfId="297" xr:uid="{F935ACC5-87ED-461F-B68A-4AED74C4FF08}"/>
    <cellStyle name="20% - Accent1 4 2" xfId="298" xr:uid="{F2C7ECC2-5B07-4933-BAEF-AA6716529068}"/>
    <cellStyle name="20% - Accent1 4 3" xfId="299" xr:uid="{95F55B02-EF8F-4F00-A107-BA73003F0708}"/>
    <cellStyle name="20% - Accent1 5" xfId="300" xr:uid="{22830CF0-53EB-4A1A-91EB-75E8AAEEF48D}"/>
    <cellStyle name="20% - Accent1 5 2" xfId="301" xr:uid="{2A6E612B-9498-488A-84FE-F5E78BEF5948}"/>
    <cellStyle name="20% - Accent1 5 3" xfId="302" xr:uid="{63D4B612-99B7-4DA1-AE0E-2285A53338AE}"/>
    <cellStyle name="20% - Accent1 6" xfId="303" xr:uid="{5DADD565-9F90-4A30-9A65-D1F208A6EF79}"/>
    <cellStyle name="20% - Accent1 6 2" xfId="304" xr:uid="{E1861123-D937-4FA8-8ACF-50AFA89E0568}"/>
    <cellStyle name="20% - Accent1 6 3" xfId="305" xr:uid="{F0F716BA-48DC-46E0-A0D6-C82CAF90ACAC}"/>
    <cellStyle name="20% - Accent1 7" xfId="306" xr:uid="{FD5A78AB-B9F5-434E-B2B7-4E23CC69356D}"/>
    <cellStyle name="20% - Accent1 7 2" xfId="307" xr:uid="{2F3F9848-9DAE-45FF-9D14-1EC195D25000}"/>
    <cellStyle name="20% - Accent1 7 3" xfId="308" xr:uid="{7DD7E5E9-804D-40F1-A977-0667C9411ACB}"/>
    <cellStyle name="20% - Accent1 8" xfId="309" xr:uid="{477F0BAA-5987-48C5-8E39-5F3E26D75281}"/>
    <cellStyle name="20% - Accent1 8 2" xfId="310" xr:uid="{3B2E2F47-E9C4-43D7-925B-76A94F534A04}"/>
    <cellStyle name="20% - Accent1 8 3" xfId="311" xr:uid="{9A939944-E82E-4040-97FC-8433C4642B99}"/>
    <cellStyle name="20% - Accent1 9" xfId="312" xr:uid="{3E1E92A6-36D6-4671-98B3-2FFF87E104BC}"/>
    <cellStyle name="20% - Accent1 9 2" xfId="313" xr:uid="{F43B7D1A-30EF-4384-AB88-3F8E9CFC1D12}"/>
    <cellStyle name="20% - Accent1 9 3" xfId="314" xr:uid="{CE4161F5-1471-4A3F-9521-D809A472C684}"/>
    <cellStyle name="20% - Accent2 10" xfId="315" xr:uid="{1D8EB88B-9F01-49CD-A63E-4DB7E716F04C}"/>
    <cellStyle name="20% - Accent2 10 2" xfId="316" xr:uid="{83590425-8D44-4235-92EA-FC436644E439}"/>
    <cellStyle name="20% - Accent2 10 3" xfId="317" xr:uid="{4763E034-3441-4202-AECA-8758E93DB8D7}"/>
    <cellStyle name="20% - Accent2 11" xfId="318" xr:uid="{736C4EE2-900F-4ED8-B8D6-C96FF2531049}"/>
    <cellStyle name="20% - Accent2 11 2" xfId="319" xr:uid="{377DAC1B-4241-40E9-AFC6-B8DCAF98EA88}"/>
    <cellStyle name="20% - Accent2 11 3" xfId="320" xr:uid="{1FAD0A83-BBDE-43B0-B061-7AD60CF9766F}"/>
    <cellStyle name="20% - Accent2 12" xfId="321" xr:uid="{C163B0CF-97C1-4CBB-98F7-E4D10E1A4629}"/>
    <cellStyle name="20% - Accent2 12 2" xfId="322" xr:uid="{859A7C09-9DDB-425F-A8C1-846625DC2A77}"/>
    <cellStyle name="20% - Accent2 12 3" xfId="323" xr:uid="{483E0E1D-6882-4313-8E39-70C27AD789F4}"/>
    <cellStyle name="20% - Accent2 13" xfId="324" xr:uid="{5D8274BF-9ABF-44F9-904C-BFB1AFF55820}"/>
    <cellStyle name="20% - Accent2 13 2" xfId="325" xr:uid="{EFABA189-A40B-4EFC-B0A6-63955BEFDD9A}"/>
    <cellStyle name="20% - Accent2 13 3" xfId="326" xr:uid="{D5B275C3-18F4-43CB-B96C-0662D46B0FA2}"/>
    <cellStyle name="20% - Accent2 14" xfId="327" xr:uid="{ED5B5C55-99EE-417C-88D4-89F3D4712AD9}"/>
    <cellStyle name="20% - Accent2 15" xfId="3794" xr:uid="{CF0BC0DF-064F-42B0-82BF-895A87CBB0F4}"/>
    <cellStyle name="20% - Accent2 2" xfId="328" xr:uid="{E81AA676-7A29-4991-A02F-A9347844FA55}"/>
    <cellStyle name="20% - Accent2 2 10" xfId="329" xr:uid="{FD2A8519-96A2-4671-BB4A-D8BC72CD4C71}"/>
    <cellStyle name="20% - Accent2 2 2" xfId="330" xr:uid="{39DC57CB-A972-41D5-9F75-C413726C1CB8}"/>
    <cellStyle name="20% - Accent2 2 2 2" xfId="331" xr:uid="{F1615E15-2EE4-40F8-AC2B-4E69A8355600}"/>
    <cellStyle name="20% - Accent2 2 3" xfId="332" xr:uid="{25E7D372-0361-4215-91D0-C40D115DC2D5}"/>
    <cellStyle name="20% - Accent2 2 3 2" xfId="333" xr:uid="{6F87CD8B-B31D-4173-9DDF-299B3E7320D0}"/>
    <cellStyle name="20% - Accent2 2 4" xfId="334" xr:uid="{038B2C66-F273-43B8-B182-AA9896CE6FF3}"/>
    <cellStyle name="20% - Accent2 2 4 2" xfId="335" xr:uid="{1F22E4A6-93D4-4E3B-98F2-E281D70CD875}"/>
    <cellStyle name="20% - Accent2 2 5" xfId="336" xr:uid="{0717ED8B-FA1F-45DF-BD07-62ABB2EBDD86}"/>
    <cellStyle name="20% - Accent2 2 5 2" xfId="337" xr:uid="{9F570A03-A8D0-41DD-9D5E-1C0680C108EC}"/>
    <cellStyle name="20% - Accent2 2 6" xfId="338" xr:uid="{EE6AFB2A-10C3-4139-AACE-910A05C928EE}"/>
    <cellStyle name="20% - Accent2 2 6 2" xfId="339" xr:uid="{D6752438-BA8E-4FF5-91CE-6B20561D931A}"/>
    <cellStyle name="20% - Accent2 2 7" xfId="340" xr:uid="{12A0179D-3E63-45AF-8B95-964BFE789E68}"/>
    <cellStyle name="20% - Accent2 2 7 2" xfId="341" xr:uid="{DF1BFEDD-ED76-4EA0-BA82-A66B62CCCCAD}"/>
    <cellStyle name="20% - Accent2 2 8" xfId="342" xr:uid="{2B666258-A04C-4951-A4C9-15980267F8D3}"/>
    <cellStyle name="20% - Accent2 2 8 2" xfId="343" xr:uid="{A1090A0A-BFCF-4F15-8E23-979D178BE5AA}"/>
    <cellStyle name="20% - Accent2 2 9" xfId="344" xr:uid="{CAF5DD61-4200-4892-AD70-9F38425AB1DE}"/>
    <cellStyle name="20% - Accent2 2 9 2" xfId="345" xr:uid="{9E90253E-12A4-43CB-A4DC-D8398CBFF53F}"/>
    <cellStyle name="20% - Accent2 2_16-17" xfId="346" xr:uid="{ED9D2E35-0BD9-42B1-BC18-7745861B671B}"/>
    <cellStyle name="20% - Accent2 3" xfId="347" xr:uid="{8483D3D5-3E0A-40FA-AA8E-606A71F1B087}"/>
    <cellStyle name="20% - Accent2 3 2" xfId="348" xr:uid="{08B2B186-3AD4-4741-9207-FCC5B98C5761}"/>
    <cellStyle name="20% - Accent2 3 3" xfId="349" xr:uid="{A318711A-93B3-4ED9-9E29-0C7CFCB4C457}"/>
    <cellStyle name="20% - Accent2 4" xfId="350" xr:uid="{1C4C53D8-7DC6-444B-A099-7E2CA70E83C8}"/>
    <cellStyle name="20% - Accent2 4 2" xfId="351" xr:uid="{B489EA33-41EC-493D-AE57-BFCD4CE7A246}"/>
    <cellStyle name="20% - Accent2 4 3" xfId="352" xr:uid="{A1297AFF-62B6-40A0-9918-AA843357F005}"/>
    <cellStyle name="20% - Accent2 5" xfId="353" xr:uid="{CFEE97C0-A9A6-466D-A885-24604105C730}"/>
    <cellStyle name="20% - Accent2 5 2" xfId="354" xr:uid="{3B2B58E3-E35D-4D06-A2DD-72A61708D3AC}"/>
    <cellStyle name="20% - Accent2 5 3" xfId="355" xr:uid="{B30056A8-A64D-4F01-9FD6-CEC24F2BFDCD}"/>
    <cellStyle name="20% - Accent2 6" xfId="356" xr:uid="{0C3ED72C-2DBF-47BB-A43D-9F43566511A3}"/>
    <cellStyle name="20% - Accent2 6 2" xfId="357" xr:uid="{29637BBE-E908-46ED-B321-69F4C507EEA0}"/>
    <cellStyle name="20% - Accent2 6 3" xfId="358" xr:uid="{5D6198A6-27E1-4740-96F8-E1CDDD045649}"/>
    <cellStyle name="20% - Accent2 7" xfId="359" xr:uid="{5125C23A-412E-4E61-A6AA-78A66D4E7AEF}"/>
    <cellStyle name="20% - Accent2 7 2" xfId="360" xr:uid="{EF03B728-D87D-45A4-8F7A-9B93769FF0D0}"/>
    <cellStyle name="20% - Accent2 7 3" xfId="361" xr:uid="{A08D7FD7-D5C0-43E7-813C-33C2B8592CDE}"/>
    <cellStyle name="20% - Accent2 8" xfId="362" xr:uid="{D4D4ED59-0DAD-44EF-9E3B-0E3F84A0E111}"/>
    <cellStyle name="20% - Accent2 8 2" xfId="363" xr:uid="{EE1ADBF9-09D6-484C-A2C1-3AC219F28FC1}"/>
    <cellStyle name="20% - Accent2 8 3" xfId="364" xr:uid="{96FDAFAC-D8AC-495C-AAF7-FBA30D7703FF}"/>
    <cellStyle name="20% - Accent2 9" xfId="365" xr:uid="{9FEF4BB2-26EC-4200-9001-A1641A33C201}"/>
    <cellStyle name="20% - Accent2 9 2" xfId="366" xr:uid="{9349F55E-CC38-4B34-B506-BC538D0D4F8B}"/>
    <cellStyle name="20% - Accent2 9 3" xfId="367" xr:uid="{ABCF9A62-C8AC-42B6-8495-9D4E4235975C}"/>
    <cellStyle name="20% - Accent3 10" xfId="368" xr:uid="{FA902543-B32E-44CE-AA2D-19BE1FF9E41F}"/>
    <cellStyle name="20% - Accent3 10 2" xfId="369" xr:uid="{726F7C9E-6ADE-4A55-8012-2A4B2F16C744}"/>
    <cellStyle name="20% - Accent3 10 3" xfId="370" xr:uid="{C631A0B4-5BFE-4F0D-AE1E-C7C329B53776}"/>
    <cellStyle name="20% - Accent3 11" xfId="371" xr:uid="{F01EA2B5-1780-4EDF-812D-C87ED57D7F09}"/>
    <cellStyle name="20% - Accent3 11 2" xfId="372" xr:uid="{5ABF1D18-F794-4CDD-B7A2-D430230C9449}"/>
    <cellStyle name="20% - Accent3 11 3" xfId="373" xr:uid="{E35854AC-6522-45B4-8848-4BAF8A755FEC}"/>
    <cellStyle name="20% - Accent3 12" xfId="374" xr:uid="{E6616491-1441-4749-AF3E-012F6E5CBFA8}"/>
    <cellStyle name="20% - Accent3 12 2" xfId="375" xr:uid="{AEBFBB66-AF9C-400D-A8E0-03C27703B926}"/>
    <cellStyle name="20% - Accent3 12 3" xfId="376" xr:uid="{44753424-86DE-469B-942A-9349B396A5E7}"/>
    <cellStyle name="20% - Accent3 13" xfId="377" xr:uid="{65D615AD-A335-41A5-A37F-2A1B379BD93C}"/>
    <cellStyle name="20% - Accent3 13 2" xfId="378" xr:uid="{F20B61E1-E733-4200-BCA8-8ADD8F3BD005}"/>
    <cellStyle name="20% - Accent3 13 3" xfId="379" xr:uid="{36B57B5C-F6C2-49EF-8BAD-B2559E36ECC4}"/>
    <cellStyle name="20% - Accent3 14" xfId="380" xr:uid="{1463CA8D-6624-473A-8F36-224E06DAB5A7}"/>
    <cellStyle name="20% - Accent3 15" xfId="3795" xr:uid="{E4AE770A-DF24-4089-87B2-798FEC6C6913}"/>
    <cellStyle name="20% - Accent3 2" xfId="381" xr:uid="{A4F25572-5DCD-465F-975D-E941B052019D}"/>
    <cellStyle name="20% - Accent3 2 10" xfId="382" xr:uid="{52B5A2A9-E7E8-493D-A8A3-A7497B5625C4}"/>
    <cellStyle name="20% - Accent3 2 2" xfId="383" xr:uid="{B2C33171-47A4-49C1-B423-341D2177B517}"/>
    <cellStyle name="20% - Accent3 2 2 2" xfId="384" xr:uid="{CE4C44DF-E6E0-4F01-A5DE-B9EFBA9AECD1}"/>
    <cellStyle name="20% - Accent3 2 3" xfId="385" xr:uid="{D7515E13-0267-40B8-9C79-D151E2331352}"/>
    <cellStyle name="20% - Accent3 2 3 2" xfId="386" xr:uid="{7E590E44-2D56-415A-98BF-82A5F65ACA2F}"/>
    <cellStyle name="20% - Accent3 2 4" xfId="387" xr:uid="{02884644-C2F8-40CD-9D76-27314915710F}"/>
    <cellStyle name="20% - Accent3 2 4 2" xfId="388" xr:uid="{8B9A1683-F2C6-4B4D-B270-7C7D37E4A371}"/>
    <cellStyle name="20% - Accent3 2 5" xfId="389" xr:uid="{2AFFCF40-E43F-42D5-8B13-CB874FCDA785}"/>
    <cellStyle name="20% - Accent3 2 5 2" xfId="390" xr:uid="{87330190-8981-4E1A-B943-26CD3FE9855D}"/>
    <cellStyle name="20% - Accent3 2 6" xfId="391" xr:uid="{1CE3D066-9C8C-4392-A865-8A65F4CBD04D}"/>
    <cellStyle name="20% - Accent3 2 6 2" xfId="392" xr:uid="{707F8D1A-DEA7-4ADB-9654-961F894D466E}"/>
    <cellStyle name="20% - Accent3 2 7" xfId="393" xr:uid="{8B2D55BC-9470-4127-A15B-0D427EE9D4A8}"/>
    <cellStyle name="20% - Accent3 2 7 2" xfId="394" xr:uid="{CAF8C37A-8FF4-46E8-A526-8B35E128CD5A}"/>
    <cellStyle name="20% - Accent3 2 8" xfId="395" xr:uid="{0D9E6A7B-78EF-43BE-87E0-76518927BF9C}"/>
    <cellStyle name="20% - Accent3 2 8 2" xfId="396" xr:uid="{C779E619-3A16-4F99-8D4D-0B74417CBC5E}"/>
    <cellStyle name="20% - Accent3 2 9" xfId="397" xr:uid="{7CC2EA85-F654-40CA-B9DE-EA7182A915EA}"/>
    <cellStyle name="20% - Accent3 2 9 2" xfId="398" xr:uid="{443754D5-1B02-4874-B6C6-8A7B63C753D7}"/>
    <cellStyle name="20% - Accent3 2_16-17" xfId="399" xr:uid="{91B600EA-2251-493C-9077-B0BF80D1FAB4}"/>
    <cellStyle name="20% - Accent3 3" xfId="400" xr:uid="{A87083E7-0B7D-423F-880C-BECC24808F70}"/>
    <cellStyle name="20% - Accent3 3 2" xfId="401" xr:uid="{D72E2BDF-EC6E-4C3F-A916-C2AB97D59AC0}"/>
    <cellStyle name="20% - Accent3 3 3" xfId="402" xr:uid="{981E9A12-9815-4846-A10E-F92BE71F7A0F}"/>
    <cellStyle name="20% - Accent3 4" xfId="403" xr:uid="{A8485D0B-5E78-47AC-AC85-E78541C19CEA}"/>
    <cellStyle name="20% - Accent3 4 2" xfId="404" xr:uid="{4E82CAF1-4569-4E00-8F22-F30C9A2C8BCB}"/>
    <cellStyle name="20% - Accent3 4 3" xfId="405" xr:uid="{7BCCFAF9-5623-4DE6-83F5-FB08F5477DD4}"/>
    <cellStyle name="20% - Accent3 5" xfId="406" xr:uid="{B422C5D1-DA00-463A-956E-B2BD83267544}"/>
    <cellStyle name="20% - Accent3 5 2" xfId="407" xr:uid="{70E1E555-A3E4-4F56-AA3D-5BA81A879180}"/>
    <cellStyle name="20% - Accent3 5 3" xfId="408" xr:uid="{FCDD8C24-94F0-4641-9B93-B0C4FA9477E1}"/>
    <cellStyle name="20% - Accent3 6" xfId="409" xr:uid="{D614D625-3B7D-4B48-8D95-EA2A7C62131A}"/>
    <cellStyle name="20% - Accent3 6 2" xfId="410" xr:uid="{D4FFB34D-E76D-466C-9ADF-AA6E92E96CF1}"/>
    <cellStyle name="20% - Accent3 6 3" xfId="411" xr:uid="{747599B1-C127-48FB-8CE8-16E7D01B0B51}"/>
    <cellStyle name="20% - Accent3 7" xfId="412" xr:uid="{991E7840-741B-4AF1-BE51-7A02A96D074A}"/>
    <cellStyle name="20% - Accent3 7 2" xfId="413" xr:uid="{70442247-FDF7-44F4-8428-C6B834E02A03}"/>
    <cellStyle name="20% - Accent3 7 3" xfId="414" xr:uid="{F39FB194-145A-47AD-AD80-E9F71A53BC11}"/>
    <cellStyle name="20% - Accent3 8" xfId="415" xr:uid="{172B28D7-FDE4-48BA-83D5-ED611A19A075}"/>
    <cellStyle name="20% - Accent3 8 2" xfId="416" xr:uid="{1D34AF2E-5ED5-4F4D-89F3-794B3930CB72}"/>
    <cellStyle name="20% - Accent3 8 3" xfId="417" xr:uid="{581039C9-CDD5-473F-BF7D-6BD6B3B42092}"/>
    <cellStyle name="20% - Accent3 9" xfId="418" xr:uid="{E10B376D-9D90-47DE-8A8A-0DC30ACF67C1}"/>
    <cellStyle name="20% - Accent3 9 2" xfId="419" xr:uid="{C01B3187-75AA-48A7-83D3-7E6AC57C30A3}"/>
    <cellStyle name="20% - Accent3 9 3" xfId="420" xr:uid="{E6A9820E-7705-4841-B2E4-2ED7F182A16F}"/>
    <cellStyle name="20% - Accent4 10" xfId="421" xr:uid="{D3845850-B076-4FEE-A375-6E0C6CC67177}"/>
    <cellStyle name="20% - Accent4 10 2" xfId="422" xr:uid="{23BCFCA2-FEE4-44AB-A80A-E1675E7D7378}"/>
    <cellStyle name="20% - Accent4 11" xfId="423" xr:uid="{4E4D572F-87D2-4037-AE59-E57D467EC28F}"/>
    <cellStyle name="20% - Accent4 11 2" xfId="424" xr:uid="{B0648EDB-AE9D-4273-9015-5F597B56F9FE}"/>
    <cellStyle name="20% - Accent4 12" xfId="425" xr:uid="{8B9A9B80-7BB0-4D21-A243-DDBBFAAF70B6}"/>
    <cellStyle name="20% - Accent4 12 2" xfId="426" xr:uid="{785F5D78-5B1B-4466-999D-D1175E2F47AF}"/>
    <cellStyle name="20% - Accent4 13" xfId="427" xr:uid="{CF3EE3B5-3914-4D85-99CB-C4A820471D5A}"/>
    <cellStyle name="20% - Accent4 13 2" xfId="428" xr:uid="{25D00BE1-4718-4188-BE9A-01E95E28D77B}"/>
    <cellStyle name="20% - Accent4 14" xfId="429" xr:uid="{E5687D9D-5029-4625-A442-6F690F9331EC}"/>
    <cellStyle name="20% - Accent4 15" xfId="3796" xr:uid="{CBED6DF5-29EF-4835-B48E-511B6FB4425E}"/>
    <cellStyle name="20% - Accent4 2" xfId="430" xr:uid="{2A0BF182-C6C7-4B2E-A337-CC2F1DE86059}"/>
    <cellStyle name="20% - Accent4 2 2" xfId="431" xr:uid="{C7661155-4718-4306-B855-17F54A23B2DE}"/>
    <cellStyle name="20% - Accent4 2 3" xfId="432" xr:uid="{B6D42A87-BDCB-47DA-B3B0-0D7EF6A06408}"/>
    <cellStyle name="20% - Accent4 2 4" xfId="433" xr:uid="{AC42152C-1519-4056-8337-DB6E394BDC85}"/>
    <cellStyle name="20% - Accent4 2 5" xfId="434" xr:uid="{B6497458-A099-4262-866F-796D6B625547}"/>
    <cellStyle name="20% - Accent4 2 6" xfId="435" xr:uid="{D5C64911-AA7A-4A48-AC68-026EA62B6105}"/>
    <cellStyle name="20% - Accent4 2 7" xfId="436" xr:uid="{0A3CE856-DF4D-4347-ABDF-5FD3251A333C}"/>
    <cellStyle name="20% - Accent4 2 8" xfId="437" xr:uid="{C019E307-8D77-4B55-A073-61E1F7B0E919}"/>
    <cellStyle name="20% - Accent4 2 9" xfId="438" xr:uid="{AC213075-D6CD-422B-8409-2973EB569275}"/>
    <cellStyle name="20% - Accent4 2_16-17" xfId="439" xr:uid="{77D57F42-B943-46DB-8110-6AAC215D3014}"/>
    <cellStyle name="20% - Accent4 3" xfId="440" xr:uid="{90B6AC61-1A3C-4BD6-9F8E-6B613FCB3CCE}"/>
    <cellStyle name="20% - Accent4 3 2" xfId="441" xr:uid="{5C846FE1-6546-4BF8-ACF0-9A4EAA93723A}"/>
    <cellStyle name="20% - Accent4 4" xfId="442" xr:uid="{12411231-607C-4D1A-B1CC-A6E756962D23}"/>
    <cellStyle name="20% - Accent4 4 2" xfId="443" xr:uid="{B37FE117-FB24-44A2-AFB7-9ACCCBC5E38C}"/>
    <cellStyle name="20% - Accent4 5" xfId="444" xr:uid="{3D7C4C05-4C87-4E67-96FE-2EBB38932379}"/>
    <cellStyle name="20% - Accent4 5 2" xfId="445" xr:uid="{4BBDEF7D-B281-4282-81B9-0CF79CB26640}"/>
    <cellStyle name="20% - Accent4 6" xfId="446" xr:uid="{EE46B362-2488-4FC2-8A6B-8C26A4008DF1}"/>
    <cellStyle name="20% - Accent4 6 2" xfId="447" xr:uid="{7E6F68D8-39B0-4D6F-B690-874DE7F024F4}"/>
    <cellStyle name="20% - Accent4 7" xfId="448" xr:uid="{BC77BB8E-2B8E-4998-875C-182D89328FA7}"/>
    <cellStyle name="20% - Accent4 7 2" xfId="449" xr:uid="{87A923A0-AE54-4601-AA7A-7FC3D57E0D21}"/>
    <cellStyle name="20% - Accent4 8" xfId="450" xr:uid="{89C9BB60-1D7D-4859-B113-391944A8AAD0}"/>
    <cellStyle name="20% - Accent4 8 2" xfId="451" xr:uid="{12F63638-4FD6-49CA-BB65-E2BDF1E87B8C}"/>
    <cellStyle name="20% - Accent4 9" xfId="452" xr:uid="{96B05B7B-2E2A-426C-87D5-F29FB0E1500C}"/>
    <cellStyle name="20% - Accent4 9 2" xfId="453" xr:uid="{25E2741D-5140-4E2C-909F-77ED5A1B4D2A}"/>
    <cellStyle name="20% - Accent5 10" xfId="454" xr:uid="{6DAE2300-9425-4DF3-B442-B5C75B988677}"/>
    <cellStyle name="20% - Accent5 10 2" xfId="455" xr:uid="{CCEAD458-0F09-4248-ABCA-7DD5B4C44464}"/>
    <cellStyle name="20% - Accent5 10 3" xfId="456" xr:uid="{3BB22712-4994-48F9-AE76-9B6792BB900A}"/>
    <cellStyle name="20% - Accent5 11" xfId="457" xr:uid="{C55FD59E-AEBB-426F-A178-7F550B73B540}"/>
    <cellStyle name="20% - Accent5 11 2" xfId="458" xr:uid="{7C198871-6C55-414E-8854-494745482DFB}"/>
    <cellStyle name="20% - Accent5 11 3" xfId="459" xr:uid="{A444147C-91FF-4C88-BB7E-A1E6D01D8849}"/>
    <cellStyle name="20% - Accent5 12" xfId="460" xr:uid="{AE900CCC-896A-46A4-B440-BAD5C62F5F75}"/>
    <cellStyle name="20% - Accent5 12 2" xfId="461" xr:uid="{02C8665A-21BB-4C64-8C93-89E1F7F22544}"/>
    <cellStyle name="20% - Accent5 12 3" xfId="462" xr:uid="{7A44C251-17F1-41A3-8292-2F1F6B7E374F}"/>
    <cellStyle name="20% - Accent5 13" xfId="463" xr:uid="{77166293-240B-46C6-96E1-D6ACE7B888F0}"/>
    <cellStyle name="20% - Accent5 13 2" xfId="464" xr:uid="{478C902B-5E0C-4760-9F33-F6A494AFC0A6}"/>
    <cellStyle name="20% - Accent5 13 3" xfId="465" xr:uid="{BEE66472-666F-40CD-9807-5FED55903861}"/>
    <cellStyle name="20% - Accent5 14" xfId="466" xr:uid="{440C3189-5BE0-47F4-ADBB-CC523D8BB46F}"/>
    <cellStyle name="20% - Accent5 15" xfId="3797" xr:uid="{803AB785-BAA0-499F-A992-D7F1CAEDB724}"/>
    <cellStyle name="20% - Accent5 2" xfId="467" xr:uid="{35D8F2AB-1F28-43C6-B0F1-9A2B58BBA76A}"/>
    <cellStyle name="20% - Accent5 2 10" xfId="468" xr:uid="{595B4A28-DD25-4A3B-8C54-A4DDDF7E8E0D}"/>
    <cellStyle name="20% - Accent5 2 2" xfId="469" xr:uid="{09FC4F55-3B06-459F-A769-BFFF019B990D}"/>
    <cellStyle name="20% - Accent5 2 2 2" xfId="470" xr:uid="{C1369D56-5E63-4B55-B085-3542CDA9E059}"/>
    <cellStyle name="20% - Accent5 2 3" xfId="471" xr:uid="{DE404CA9-5DA9-4529-B2ED-79E2895E4138}"/>
    <cellStyle name="20% - Accent5 2 3 2" xfId="472" xr:uid="{8F0EA653-6A95-4176-9B99-18C062DE4A0D}"/>
    <cellStyle name="20% - Accent5 2 4" xfId="473" xr:uid="{3729FD3C-D5EC-4E30-BF7A-645BC00DA494}"/>
    <cellStyle name="20% - Accent5 2 4 2" xfId="474" xr:uid="{EA9734F1-BDB0-4C5F-B807-88660E496971}"/>
    <cellStyle name="20% - Accent5 2 5" xfId="475" xr:uid="{79E339AA-0D25-41AC-AA29-DEB6C229233D}"/>
    <cellStyle name="20% - Accent5 2 5 2" xfId="476" xr:uid="{289610B8-28BF-4C89-A279-92B8F53F5CD6}"/>
    <cellStyle name="20% - Accent5 2 6" xfId="477" xr:uid="{013C7CFC-216D-4A18-A58B-0537E8BB73CC}"/>
    <cellStyle name="20% - Accent5 2 6 2" xfId="478" xr:uid="{793E079E-3248-4F17-8FE0-2F50B49F52CC}"/>
    <cellStyle name="20% - Accent5 2 7" xfId="479" xr:uid="{7C815819-00D7-4686-AE29-DF7BD42F27ED}"/>
    <cellStyle name="20% - Accent5 2 7 2" xfId="480" xr:uid="{5ABE8862-694C-42BB-8463-E2E61D91058F}"/>
    <cellStyle name="20% - Accent5 2 8" xfId="481" xr:uid="{CB9C1382-AAAD-4242-9219-D83B462387EF}"/>
    <cellStyle name="20% - Accent5 2 8 2" xfId="482" xr:uid="{4704A4A4-0F26-4B34-A734-7E6E920BEF60}"/>
    <cellStyle name="20% - Accent5 2 9" xfId="483" xr:uid="{B44C210C-BDF3-45FC-B7DA-D052A2D89AE2}"/>
    <cellStyle name="20% - Accent5 2 9 2" xfId="484" xr:uid="{CA226C1B-3C1B-4909-9714-E475E287D726}"/>
    <cellStyle name="20% - Accent5 2_16-17" xfId="485" xr:uid="{157BE31D-4304-4935-8E89-20987CA8E02D}"/>
    <cellStyle name="20% - Accent5 3" xfId="486" xr:uid="{67B14EC2-14B3-4AF1-A4B0-2DB69714A0EB}"/>
    <cellStyle name="20% - Accent5 3 2" xfId="487" xr:uid="{5C9A2853-9397-42D8-BFB8-1CA23E80ACD4}"/>
    <cellStyle name="20% - Accent5 3 3" xfId="488" xr:uid="{1AA3056C-FA01-4CE6-8AC4-619EC51FF20A}"/>
    <cellStyle name="20% - Accent5 4" xfId="489" xr:uid="{F31A4A8E-7E56-449A-9EE2-6B81E75B0FC2}"/>
    <cellStyle name="20% - Accent5 4 2" xfId="490" xr:uid="{FEAD5F76-9AC6-41AE-985E-508CE33E238D}"/>
    <cellStyle name="20% - Accent5 4 3" xfId="491" xr:uid="{FA343BFB-61BB-45B9-9816-7850AB4E18DE}"/>
    <cellStyle name="20% - Accent5 5" xfId="492" xr:uid="{7E6CF6E0-2BB3-424F-AF0E-5B4465547EF7}"/>
    <cellStyle name="20% - Accent5 5 2" xfId="493" xr:uid="{7DC9F0AB-F99D-4C6B-97AE-134673E9F926}"/>
    <cellStyle name="20% - Accent5 5 3" xfId="494" xr:uid="{BB43B5D2-0806-4A74-9394-7DB27BCC7028}"/>
    <cellStyle name="20% - Accent5 6" xfId="495" xr:uid="{6F873AAF-B98B-4542-A612-02EEAA24C369}"/>
    <cellStyle name="20% - Accent5 6 2" xfId="496" xr:uid="{1E1E8AEB-FFF0-4213-894C-5A0E7CBE6210}"/>
    <cellStyle name="20% - Accent5 6 3" xfId="497" xr:uid="{EC615216-9AAB-4AD4-9938-959DE47740D8}"/>
    <cellStyle name="20% - Accent5 7" xfId="498" xr:uid="{14115ED4-3252-4F12-9873-B779CC72BB38}"/>
    <cellStyle name="20% - Accent5 7 2" xfId="499" xr:uid="{062B6371-3688-4E47-AB9D-A8AA9112E5E7}"/>
    <cellStyle name="20% - Accent5 7 3" xfId="500" xr:uid="{3F624877-F8D7-4006-A0F4-0B50811423F5}"/>
    <cellStyle name="20% - Accent5 8" xfId="501" xr:uid="{10765E90-501A-4D60-95D8-81EA30A52F14}"/>
    <cellStyle name="20% - Accent5 8 2" xfId="502" xr:uid="{4B09851D-A30F-4E18-B3EB-8E3288AE6732}"/>
    <cellStyle name="20% - Accent5 8 3" xfId="503" xr:uid="{DBEEBED6-8065-4C89-8D5E-E3CDE342CFA1}"/>
    <cellStyle name="20% - Accent5 9" xfId="504" xr:uid="{00473D7F-162A-47F6-BB03-35B19B11D3AA}"/>
    <cellStyle name="20% - Accent5 9 2" xfId="505" xr:uid="{AC7F47C5-143C-4738-A785-8C4F24D0A594}"/>
    <cellStyle name="20% - Accent5 9 3" xfId="506" xr:uid="{A8DD0550-B92F-4910-8AF3-26A45C4CB917}"/>
    <cellStyle name="20% - Accent6 10" xfId="507" xr:uid="{3D818A1E-58C0-4A29-B7CE-038428C84488}"/>
    <cellStyle name="20% - Accent6 10 2" xfId="508" xr:uid="{FE95BB60-311D-4697-91E5-D97EFD017EEF}"/>
    <cellStyle name="20% - Accent6 10 3" xfId="509" xr:uid="{49FBD38F-C253-4DFF-89C3-BFE95BC97C94}"/>
    <cellStyle name="20% - Accent6 11" xfId="510" xr:uid="{1AF66533-F12E-4148-A5CF-7178082D1B0C}"/>
    <cellStyle name="20% - Accent6 11 2" xfId="511" xr:uid="{2E2FCA48-C4E0-457B-9F27-506A2CA52A5B}"/>
    <cellStyle name="20% - Accent6 11 3" xfId="512" xr:uid="{D5C5EA08-D2AB-440A-996C-A3C9234AE3B3}"/>
    <cellStyle name="20% - Accent6 12" xfId="513" xr:uid="{C1359241-077C-4992-96D5-8533E8D3E108}"/>
    <cellStyle name="20% - Accent6 12 2" xfId="514" xr:uid="{30F24381-F098-4A9D-BBA4-03E64FEDA9CE}"/>
    <cellStyle name="20% - Accent6 12 3" xfId="515" xr:uid="{69998897-DB45-452A-990A-C64424B52F4E}"/>
    <cellStyle name="20% - Accent6 13" xfId="516" xr:uid="{9CC58F4D-A4A3-427D-902A-DC855F63C093}"/>
    <cellStyle name="20% - Accent6 13 2" xfId="517" xr:uid="{8E9153B3-F975-42BB-82FE-AA1FA0EBC41A}"/>
    <cellStyle name="20% - Accent6 13 3" xfId="518" xr:uid="{56930B98-09A6-4AA5-9F47-731B9F990978}"/>
    <cellStyle name="20% - Accent6 14" xfId="519" xr:uid="{2D4EC138-37CD-47D6-B6F2-CB11EAF69494}"/>
    <cellStyle name="20% - Accent6 15" xfId="3798" xr:uid="{A3AD4A3E-E36B-4DD5-9894-C6E0A59C2558}"/>
    <cellStyle name="20% - Accent6 2" xfId="520" xr:uid="{7BC1691A-7DC9-4ED3-82A4-B8F73EC71BFE}"/>
    <cellStyle name="20% - Accent6 2 10" xfId="521" xr:uid="{94A30C8E-4EBD-4918-B8C1-456CC9C26CB4}"/>
    <cellStyle name="20% - Accent6 2 11" xfId="522" xr:uid="{13ED1056-C68C-4F02-A5B7-ABAB5E942B4C}"/>
    <cellStyle name="20% - Accent6 2 2" xfId="523" xr:uid="{9E417901-F92E-45F2-8B39-2426AE224C4B}"/>
    <cellStyle name="20% - Accent6 2 2 2" xfId="524" xr:uid="{6564C958-A520-4C55-A1B0-0C4D30D54789}"/>
    <cellStyle name="20% - Accent6 2 2 3" xfId="525" xr:uid="{31DD219F-551B-4749-A779-E390EB732724}"/>
    <cellStyle name="20% - Accent6 2 3" xfId="526" xr:uid="{E16341E8-7A39-463C-B720-4ACFBE163001}"/>
    <cellStyle name="20% - Accent6 2 3 2" xfId="527" xr:uid="{7BE71109-6E15-4C32-B33F-92BF30B0973B}"/>
    <cellStyle name="20% - Accent6 2 3 3" xfId="528" xr:uid="{4C24FED5-4EB5-43EE-9293-B629E8C7DD9F}"/>
    <cellStyle name="20% - Accent6 2 4" xfId="529" xr:uid="{7ADF2099-8920-4333-9080-8CE173497B40}"/>
    <cellStyle name="20% - Accent6 2 4 2" xfId="530" xr:uid="{1E5A1E80-7CFC-40E8-AAE7-D80A78119AF3}"/>
    <cellStyle name="20% - Accent6 2 4 3" xfId="531" xr:uid="{6E5BA40E-368E-4A39-97D8-CB8049FA843C}"/>
    <cellStyle name="20% - Accent6 2 5" xfId="532" xr:uid="{6E163FDA-54C3-47CC-ACCB-191CB6606D69}"/>
    <cellStyle name="20% - Accent6 2 5 2" xfId="533" xr:uid="{91F5B855-BB1E-4D88-8200-4BEEA1ABF174}"/>
    <cellStyle name="20% - Accent6 2 5 3" xfId="534" xr:uid="{6D74FBF4-497C-4134-9DD7-13D1BCD2BC5E}"/>
    <cellStyle name="20% - Accent6 2 6" xfId="535" xr:uid="{3BF8ACA1-22F4-4451-8F2D-2816CD56D4D8}"/>
    <cellStyle name="20% - Accent6 2 6 2" xfId="536" xr:uid="{82F3729C-A033-4514-9A39-565A210AA086}"/>
    <cellStyle name="20% - Accent6 2 6 3" xfId="537" xr:uid="{E30A6729-289A-4D24-858A-A52CAA314573}"/>
    <cellStyle name="20% - Accent6 2 7" xfId="538" xr:uid="{DC54EEAF-EF45-4332-AE21-7F79FBA2332D}"/>
    <cellStyle name="20% - Accent6 2 7 2" xfId="539" xr:uid="{7CD4DD21-9E9C-4A36-ACBD-BD25A3630888}"/>
    <cellStyle name="20% - Accent6 2 7 3" xfId="540" xr:uid="{26ABE8D9-3B7D-4F7D-A6B2-C1C6DC045073}"/>
    <cellStyle name="20% - Accent6 2 8" xfId="541" xr:uid="{8153AA96-423E-46B2-8A87-92290049B4BE}"/>
    <cellStyle name="20% - Accent6 2 8 2" xfId="542" xr:uid="{55E2E19B-9C67-4327-972E-84A3E851160B}"/>
    <cellStyle name="20% - Accent6 2 8 3" xfId="543" xr:uid="{1DD22D4B-7949-4E9B-9175-9D5C262D7CA9}"/>
    <cellStyle name="20% - Accent6 2 9" xfId="544" xr:uid="{3AC79786-4C06-47C9-9F83-09DF8BAC9B35}"/>
    <cellStyle name="20% - Accent6 2 9 2" xfId="545" xr:uid="{D0F6834B-DA80-477B-95CB-A6B964C578C3}"/>
    <cellStyle name="20% - Accent6 2 9 3" xfId="546" xr:uid="{3E020777-FFDD-4A79-8F4F-EFE68890186E}"/>
    <cellStyle name="20% - Accent6 2_16-17" xfId="547" xr:uid="{C09354BC-CA8B-4CE3-96B1-E48ED1A4A1C2}"/>
    <cellStyle name="20% - Accent6 3" xfId="548" xr:uid="{45BF728E-DCF6-4F9B-B0D8-9227E05CF79D}"/>
    <cellStyle name="20% - Accent6 3 2" xfId="549" xr:uid="{3A34AD26-868E-4CD6-B798-0B5CDF836CD9}"/>
    <cellStyle name="20% - Accent6 3 3" xfId="550" xr:uid="{161E1F67-4FC2-40DA-B421-C47DCC3A661E}"/>
    <cellStyle name="20% - Accent6 4" xfId="551" xr:uid="{8B7B82A8-813B-4680-BF74-5F95444AB776}"/>
    <cellStyle name="20% - Accent6 4 2" xfId="552" xr:uid="{FF79EED2-3F7A-437E-9FE5-89F5BD8BE3FD}"/>
    <cellStyle name="20% - Accent6 4 3" xfId="553" xr:uid="{DB256BD4-06C1-4D1F-99DB-140C71E2C955}"/>
    <cellStyle name="20% - Accent6 5" xfId="554" xr:uid="{783E18C3-2439-4E3F-999E-BF14C683587A}"/>
    <cellStyle name="20% - Accent6 5 2" xfId="555" xr:uid="{C81D477C-02B4-4C96-8AC3-243995587BF3}"/>
    <cellStyle name="20% - Accent6 5 3" xfId="556" xr:uid="{DC1168C9-7ECD-42E8-8CD2-BB6954D7E4ED}"/>
    <cellStyle name="20% - Accent6 6" xfId="557" xr:uid="{B2B2F619-DF4D-4A90-904C-D31973DF0F06}"/>
    <cellStyle name="20% - Accent6 6 2" xfId="558" xr:uid="{86C7A0BD-9BD5-498F-B949-1D04B5176EA8}"/>
    <cellStyle name="20% - Accent6 6 3" xfId="559" xr:uid="{247AEF3B-D56A-4441-AF7C-63D7698D6210}"/>
    <cellStyle name="20% - Accent6 7" xfId="560" xr:uid="{B9FE8E5C-C1F8-433F-8686-A555E0BD7537}"/>
    <cellStyle name="20% - Accent6 7 2" xfId="561" xr:uid="{1491C876-1DD1-4AC6-B38D-F764E2B6640F}"/>
    <cellStyle name="20% - Accent6 7 3" xfId="562" xr:uid="{4148656B-71CA-48AA-95D4-5CAC5860521A}"/>
    <cellStyle name="20% - Accent6 8" xfId="563" xr:uid="{9A10F52B-E667-4742-BD65-F0500A7368DF}"/>
    <cellStyle name="20% - Accent6 8 2" xfId="564" xr:uid="{6E9D9B0B-E4B1-41A1-BD01-F022F5EFF9A9}"/>
    <cellStyle name="20% - Accent6 8 3" xfId="565" xr:uid="{3DE7E4E5-E8E8-424D-95A8-6F14BEA1D621}"/>
    <cellStyle name="20% - Accent6 9" xfId="566" xr:uid="{7D7FEAF7-8357-4F5E-8FC0-765E433AA126}"/>
    <cellStyle name="20% - Accent6 9 2" xfId="567" xr:uid="{8F229228-A5B2-48FC-8791-1A3DEE15C2A2}"/>
    <cellStyle name="20% - Accent6 9 3" xfId="568" xr:uid="{196FA8D0-AE95-4ABA-A473-391626744DB7}"/>
    <cellStyle name="40% - Accent1 10" xfId="569" xr:uid="{7780479B-9A9D-4F06-BABC-1D024B8B8063}"/>
    <cellStyle name="40% - Accent1 10 2" xfId="570" xr:uid="{5833B707-BC5C-4CBC-85B3-85650747A715}"/>
    <cellStyle name="40% - Accent1 11" xfId="571" xr:uid="{A2315CAA-60DE-4856-BD7B-4875DF6A36FD}"/>
    <cellStyle name="40% - Accent1 11 2" xfId="572" xr:uid="{91F78BE4-58B7-4A69-A87C-69930AEA4B99}"/>
    <cellStyle name="40% - Accent1 12" xfId="573" xr:uid="{8C772B41-0E25-4C06-BAEF-B1BA05AA934D}"/>
    <cellStyle name="40% - Accent1 12 2" xfId="574" xr:uid="{A5492B36-957C-467C-8F92-A37CBA773A10}"/>
    <cellStyle name="40% - Accent1 13" xfId="575" xr:uid="{4AE375FE-8014-495C-92B8-6BF2C59175D0}"/>
    <cellStyle name="40% - Accent1 13 2" xfId="576" xr:uid="{B6DB37D8-B34F-4CD0-8179-07D434191ECF}"/>
    <cellStyle name="40% - Accent1 14" xfId="577" xr:uid="{100C0D1C-FBFE-41D4-A07F-E3ADC02A8EEC}"/>
    <cellStyle name="40% - Accent1 15" xfId="3799" xr:uid="{BCDEA8F4-A4E2-4B7B-B3B6-4E619A7B026D}"/>
    <cellStyle name="40% - Accent1 2" xfId="578" xr:uid="{D948B3D7-B518-4D49-972E-57D1F4898CA3}"/>
    <cellStyle name="40% - Accent1 2 2" xfId="579" xr:uid="{C8561DC3-28A7-4D8D-81C6-61EC6D1DDEAD}"/>
    <cellStyle name="40% - Accent1 2 3" xfId="580" xr:uid="{431036E4-740C-44F8-AC86-3F466C9D41AD}"/>
    <cellStyle name="40% - Accent1 2 4" xfId="581" xr:uid="{E3B049C2-3993-4D94-B3D1-7ABB63EF2F4F}"/>
    <cellStyle name="40% - Accent1 2 5" xfId="582" xr:uid="{AC418FA3-6D69-411C-B21B-0EC6C4897ED0}"/>
    <cellStyle name="40% - Accent1 2 6" xfId="583" xr:uid="{254A8E47-7CBC-470C-8652-1713EAE72DB8}"/>
    <cellStyle name="40% - Accent1 2 7" xfId="584" xr:uid="{C3E4A2A5-7ECB-4611-88F5-CED2E5A3A551}"/>
    <cellStyle name="40% - Accent1 2 8" xfId="585" xr:uid="{DC3606EE-CE3A-491C-82EA-B9630502937A}"/>
    <cellStyle name="40% - Accent1 2 9" xfId="586" xr:uid="{0718636C-5D86-4EBA-986A-E9350C2B6292}"/>
    <cellStyle name="40% - Accent1 2_16-17" xfId="587" xr:uid="{1BFBD358-0272-41CF-B483-BDE39A14D79E}"/>
    <cellStyle name="40% - Accent1 3" xfId="588" xr:uid="{690D926E-9255-4098-95A0-4CDBFFDF6D07}"/>
    <cellStyle name="40% - Accent1 3 2" xfId="589" xr:uid="{6D3D7E03-76A3-4677-811B-996241CB047A}"/>
    <cellStyle name="40% - Accent1 4" xfId="590" xr:uid="{1D304BAD-963E-4895-9B75-732E98F46B44}"/>
    <cellStyle name="40% - Accent1 4 2" xfId="591" xr:uid="{1866F012-5EF4-47F7-82C4-2BE2001017B5}"/>
    <cellStyle name="40% - Accent1 5" xfId="592" xr:uid="{BFCC67FC-AE27-47D1-A7BA-D5EC46B78A0C}"/>
    <cellStyle name="40% - Accent1 5 2" xfId="593" xr:uid="{9FDB612C-59D7-4383-BB34-8AD9E160FAC2}"/>
    <cellStyle name="40% - Accent1 6" xfId="594" xr:uid="{ACDCC69A-ECA8-4CA6-A09D-21F7801293DD}"/>
    <cellStyle name="40% - Accent1 6 2" xfId="595" xr:uid="{6E4AE9E1-CB57-455D-BC21-7AD6CBA2968D}"/>
    <cellStyle name="40% - Accent1 7" xfId="596" xr:uid="{C8AA1474-2955-4053-8BEA-257876D16F35}"/>
    <cellStyle name="40% - Accent1 7 2" xfId="597" xr:uid="{7A0ADF38-9E34-4621-9A6C-94CF3EBE1423}"/>
    <cellStyle name="40% - Accent1 8" xfId="598" xr:uid="{ABA2C876-B87B-4F7C-B62C-E641FDAFA6E9}"/>
    <cellStyle name="40% - Accent1 8 2" xfId="599" xr:uid="{81713FDD-C2CB-471D-AA62-278C7B054D36}"/>
    <cellStyle name="40% - Accent1 9" xfId="600" xr:uid="{072E717C-5962-4092-A460-6261586FD814}"/>
    <cellStyle name="40% - Accent1 9 2" xfId="601" xr:uid="{CA994A1C-B8D9-4129-81CB-253B533C2AD4}"/>
    <cellStyle name="40% - Accent2 10" xfId="602" xr:uid="{09FBE1E6-B496-484D-A739-0C07250BF87B}"/>
    <cellStyle name="40% - Accent2 10 2" xfId="603" xr:uid="{4F48AA8F-8EA3-4E42-8CDD-312E71641604}"/>
    <cellStyle name="40% - Accent2 10 3" xfId="604" xr:uid="{E926EB8D-A43C-4348-A216-3D95F108C40B}"/>
    <cellStyle name="40% - Accent2 11" xfId="605" xr:uid="{76F6E31D-F489-44C5-A451-39A834E7236E}"/>
    <cellStyle name="40% - Accent2 11 2" xfId="606" xr:uid="{ABAF8C5D-D67F-4D6C-8C67-AF479363B8F0}"/>
    <cellStyle name="40% - Accent2 11 3" xfId="607" xr:uid="{CAFD31D0-873A-4A43-A5B7-E3E3D9873016}"/>
    <cellStyle name="40% - Accent2 12" xfId="608" xr:uid="{1AA11688-5F1C-4179-96FD-43FDD6ADFA31}"/>
    <cellStyle name="40% - Accent2 12 2" xfId="609" xr:uid="{380D9780-4C32-4798-A497-1F1DD46C0714}"/>
    <cellStyle name="40% - Accent2 12 3" xfId="610" xr:uid="{BB9DEE65-573E-46A7-B841-1A150A2FA680}"/>
    <cellStyle name="40% - Accent2 13" xfId="611" xr:uid="{6B179BAB-0065-40CC-92CB-4A32B8B174FB}"/>
    <cellStyle name="40% - Accent2 13 2" xfId="612" xr:uid="{60FB3E3A-DCC8-4B9F-BD99-90D718E617B3}"/>
    <cellStyle name="40% - Accent2 13 3" xfId="613" xr:uid="{50D596F6-107E-4524-96DB-CE41C575F19D}"/>
    <cellStyle name="40% - Accent2 14" xfId="614" xr:uid="{CECD1CAD-AF7E-4D36-9E8C-D90EF2E385B3}"/>
    <cellStyle name="40% - Accent2 15" xfId="3800" xr:uid="{0319E293-0FAF-497C-8743-B77F1C6EBFFA}"/>
    <cellStyle name="40% - Accent2 2" xfId="615" xr:uid="{E4E50841-C873-434A-8E16-9460AE8EBE4E}"/>
    <cellStyle name="40% - Accent2 2 10" xfId="616" xr:uid="{1A97F484-1D9B-4FC7-8441-3DD8E7A9316B}"/>
    <cellStyle name="40% - Accent2 2 2" xfId="617" xr:uid="{A2E6BF88-A76F-47E4-9F8F-B5BCA697BD35}"/>
    <cellStyle name="40% - Accent2 2 2 2" xfId="618" xr:uid="{39013022-8415-4E6C-B4B3-74A9E274869D}"/>
    <cellStyle name="40% - Accent2 2 3" xfId="619" xr:uid="{5507BE26-AEEF-4523-863E-9B55D3C13CBB}"/>
    <cellStyle name="40% - Accent2 2 3 2" xfId="620" xr:uid="{010BD3C2-3A67-4BF5-AACF-92C7E473B593}"/>
    <cellStyle name="40% - Accent2 2 4" xfId="621" xr:uid="{8E3FCD2F-3572-451B-BD47-EE43FCFF6B9C}"/>
    <cellStyle name="40% - Accent2 2 4 2" xfId="622" xr:uid="{E2A5DC25-9F2B-476E-A5B6-52E57B632093}"/>
    <cellStyle name="40% - Accent2 2 5" xfId="623" xr:uid="{C3E93FA2-7517-45AC-9D83-EB156BFE1998}"/>
    <cellStyle name="40% - Accent2 2 5 2" xfId="624" xr:uid="{9086DFDA-E5B9-4B7B-A88F-46110DFD81F6}"/>
    <cellStyle name="40% - Accent2 2 6" xfId="625" xr:uid="{D359D062-360D-4C87-8BDB-334520F2C939}"/>
    <cellStyle name="40% - Accent2 2 6 2" xfId="626" xr:uid="{DD47C9D8-8183-4FE4-AB4C-F8914BD7D8C0}"/>
    <cellStyle name="40% - Accent2 2 7" xfId="627" xr:uid="{6D79B180-A66C-404A-9F53-9922D050363D}"/>
    <cellStyle name="40% - Accent2 2 7 2" xfId="628" xr:uid="{4A26EC98-D929-44A3-8B6B-C76DDCA934ED}"/>
    <cellStyle name="40% - Accent2 2 8" xfId="629" xr:uid="{F6342DD9-51DC-461A-B3C2-082C0E527D70}"/>
    <cellStyle name="40% - Accent2 2 8 2" xfId="630" xr:uid="{BDA20922-9689-47F4-B3D1-8FAB190643A4}"/>
    <cellStyle name="40% - Accent2 2 9" xfId="631" xr:uid="{F7447124-1C27-4661-A46C-0C51ADCD785C}"/>
    <cellStyle name="40% - Accent2 2 9 2" xfId="632" xr:uid="{F40A8A54-FE93-439F-8FBD-7A283A24A456}"/>
    <cellStyle name="40% - Accent2 2_16-17" xfId="633" xr:uid="{0B7DCAEF-CCDE-4498-A983-0E1A0EFAFFA5}"/>
    <cellStyle name="40% - Accent2 3" xfId="634" xr:uid="{EEF78D90-00B2-4605-A7C0-98E9B6A6C040}"/>
    <cellStyle name="40% - Accent2 3 2" xfId="635" xr:uid="{324F64F0-573C-4454-83DF-3EFB489DC05D}"/>
    <cellStyle name="40% - Accent2 3 3" xfId="636" xr:uid="{A18F99C5-61B6-43AF-88D3-78E28166A038}"/>
    <cellStyle name="40% - Accent2 4" xfId="637" xr:uid="{8C73A4B0-96CF-4324-BA2E-B097C5024A0C}"/>
    <cellStyle name="40% - Accent2 4 2" xfId="638" xr:uid="{886C916D-3AB0-41CB-AC3D-483DA15FA27A}"/>
    <cellStyle name="40% - Accent2 4 3" xfId="639" xr:uid="{28F039EB-C3C5-453F-8A8D-39629023A4FA}"/>
    <cellStyle name="40% - Accent2 5" xfId="640" xr:uid="{5623E94E-65B5-418B-8483-2EE076B9491C}"/>
    <cellStyle name="40% - Accent2 5 2" xfId="641" xr:uid="{678DE83D-724D-4F9A-80C8-90F1ED7C64A2}"/>
    <cellStyle name="40% - Accent2 5 3" xfId="642" xr:uid="{28EAD00A-4258-4843-90AB-57479DB79EBC}"/>
    <cellStyle name="40% - Accent2 6" xfId="643" xr:uid="{150382B2-952D-4B49-8C3C-ECA649093D44}"/>
    <cellStyle name="40% - Accent2 6 2" xfId="644" xr:uid="{C075B2D0-5E01-48FB-86C0-7166A2A31814}"/>
    <cellStyle name="40% - Accent2 6 3" xfId="645" xr:uid="{A3C247E8-FA9B-456C-8899-9772F111EBBB}"/>
    <cellStyle name="40% - Accent2 7" xfId="646" xr:uid="{DF7D2856-A047-4AED-891E-0B0EB26466A8}"/>
    <cellStyle name="40% - Accent2 7 2" xfId="647" xr:uid="{5F6CF344-CD1E-44B5-94BB-472FF92B2622}"/>
    <cellStyle name="40% - Accent2 7 3" xfId="648" xr:uid="{1FCFF022-D625-4521-A2E8-E489EDCD46D9}"/>
    <cellStyle name="40% - Accent2 8" xfId="649" xr:uid="{24461346-3D02-4A2D-8D8C-DC211441EF35}"/>
    <cellStyle name="40% - Accent2 8 2" xfId="650" xr:uid="{13E5D362-6BD8-4BF7-80D6-BCB0A38C790B}"/>
    <cellStyle name="40% - Accent2 8 3" xfId="651" xr:uid="{5B6C9A65-5797-451E-997B-CD89A99DBDE2}"/>
    <cellStyle name="40% - Accent2 9" xfId="652" xr:uid="{42F5D5D8-A35E-48C8-BEA0-D2A0148155CA}"/>
    <cellStyle name="40% - Accent2 9 2" xfId="653" xr:uid="{589D28D4-A896-4BFC-91A9-72966AA0BEE6}"/>
    <cellStyle name="40% - Accent2 9 3" xfId="654" xr:uid="{C8753AC6-1815-4861-9A82-D99615D756F2}"/>
    <cellStyle name="40% - Accent3 10" xfId="655" xr:uid="{65DCCE0B-0D84-4D53-BDE3-5548EB12C2F2}"/>
    <cellStyle name="40% - Accent3 10 2" xfId="656" xr:uid="{40E4E106-6F12-4FEE-B6F0-98C927634541}"/>
    <cellStyle name="40% - Accent3 10 3" xfId="657" xr:uid="{066BEB76-6835-4CAC-83E5-61E06F7882AF}"/>
    <cellStyle name="40% - Accent3 11" xfId="658" xr:uid="{29578380-CA9B-40DE-9E12-87C5B926D2AA}"/>
    <cellStyle name="40% - Accent3 11 2" xfId="659" xr:uid="{1C01EC3C-85C1-4925-914A-09D086FBFD80}"/>
    <cellStyle name="40% - Accent3 11 3" xfId="660" xr:uid="{C2D46951-7C33-4215-B79C-A17C4CDF22B0}"/>
    <cellStyle name="40% - Accent3 12" xfId="661" xr:uid="{34D1749D-5826-4909-AFE2-A628AA2F58D7}"/>
    <cellStyle name="40% - Accent3 12 2" xfId="662" xr:uid="{3E88DA8D-8FF0-4758-85B1-C34EF1D0D008}"/>
    <cellStyle name="40% - Accent3 12 3" xfId="663" xr:uid="{98881229-641B-4B9C-B002-2BBE303F02C0}"/>
    <cellStyle name="40% - Accent3 13" xfId="664" xr:uid="{63D0B9CF-672B-4494-859C-9D6181D34684}"/>
    <cellStyle name="40% - Accent3 13 2" xfId="665" xr:uid="{BBC76650-34F5-415E-95A7-195C58DC7472}"/>
    <cellStyle name="40% - Accent3 13 3" xfId="666" xr:uid="{38B581FE-9EA9-491E-8AB3-A5DA9D159AC4}"/>
    <cellStyle name="40% - Accent3 14" xfId="667" xr:uid="{199B5796-E7AB-412B-A329-C91EB396ACBD}"/>
    <cellStyle name="40% - Accent3 15" xfId="3801" xr:uid="{024DCC18-8D58-40CA-922B-0E725588524B}"/>
    <cellStyle name="40% - Accent3 2" xfId="668" xr:uid="{DB9DB8C2-09E5-465C-B7FF-5EB44E73524D}"/>
    <cellStyle name="40% - Accent3 2 10" xfId="669" xr:uid="{2337E3F0-6272-4BC4-AC99-1C0BBBC646CF}"/>
    <cellStyle name="40% - Accent3 2 2" xfId="670" xr:uid="{21BBC4A3-AD20-421E-BB01-A9C0C06A7ED8}"/>
    <cellStyle name="40% - Accent3 2 2 2" xfId="671" xr:uid="{F45C37AA-3113-42A7-93D9-B7B5B46B3736}"/>
    <cellStyle name="40% - Accent3 2 3" xfId="672" xr:uid="{1FA36D92-8DFE-4BEA-AB11-3C11E168993B}"/>
    <cellStyle name="40% - Accent3 2 3 2" xfId="673" xr:uid="{18E5EF69-C6C3-4752-B4AF-BEF066906B38}"/>
    <cellStyle name="40% - Accent3 2 4" xfId="674" xr:uid="{83FB446D-6FFC-4D9A-A183-0479E21A438D}"/>
    <cellStyle name="40% - Accent3 2 4 2" xfId="675" xr:uid="{1D067D9D-CB2C-4C4E-9724-9CA9FF7E38BF}"/>
    <cellStyle name="40% - Accent3 2 5" xfId="676" xr:uid="{5AA78832-307D-410E-8512-FD09015C93C0}"/>
    <cellStyle name="40% - Accent3 2 5 2" xfId="677" xr:uid="{8B64D1E4-EBAD-4553-A150-F49BDCD5159F}"/>
    <cellStyle name="40% - Accent3 2 6" xfId="678" xr:uid="{90A8FB0C-DFF4-4351-AFAF-64E5E599E854}"/>
    <cellStyle name="40% - Accent3 2 6 2" xfId="679" xr:uid="{A4BA42FD-578F-4773-B335-F5081018FACD}"/>
    <cellStyle name="40% - Accent3 2 7" xfId="680" xr:uid="{29AEBE18-2329-4916-AEC3-3566BEFAA0A4}"/>
    <cellStyle name="40% - Accent3 2 7 2" xfId="681" xr:uid="{5BF599F3-20E2-4CE3-9E3D-5350D41567A8}"/>
    <cellStyle name="40% - Accent3 2 8" xfId="682" xr:uid="{26FDE0E0-216C-4B84-B9D4-C04E771A496E}"/>
    <cellStyle name="40% - Accent3 2 8 2" xfId="683" xr:uid="{F1D3EE8D-3968-4F7E-9F76-32915C2380FD}"/>
    <cellStyle name="40% - Accent3 2 9" xfId="684" xr:uid="{4A7D4D5D-20D3-47AF-BD2B-B2B0D46741DE}"/>
    <cellStyle name="40% - Accent3 2 9 2" xfId="685" xr:uid="{BC364210-45F5-4A6D-AF06-BCD5D3993C51}"/>
    <cellStyle name="40% - Accent3 2_16-17" xfId="686" xr:uid="{009E5D70-D0C4-4549-9E63-DEB6E8D364A1}"/>
    <cellStyle name="40% - Accent3 3" xfId="687" xr:uid="{151775C6-32E8-4DA4-BFC6-885B7C9B56E0}"/>
    <cellStyle name="40% - Accent3 3 2" xfId="688" xr:uid="{AEBF5A28-6B73-40A3-AE48-471032216130}"/>
    <cellStyle name="40% - Accent3 3 3" xfId="689" xr:uid="{CE85DFFC-2860-43E5-8CC0-15D2DFAF7CE0}"/>
    <cellStyle name="40% - Accent3 4" xfId="690" xr:uid="{9664F952-1DB0-48BD-88D3-A5693F485C04}"/>
    <cellStyle name="40% - Accent3 4 2" xfId="691" xr:uid="{B34CC600-4A78-479F-824E-EE5D393639F6}"/>
    <cellStyle name="40% - Accent3 4 3" xfId="692" xr:uid="{E6386912-527A-4160-B344-813D73780840}"/>
    <cellStyle name="40% - Accent3 5" xfId="693" xr:uid="{1EAC9959-A87C-4BED-92C5-E095A6F83A42}"/>
    <cellStyle name="40% - Accent3 5 2" xfId="694" xr:uid="{F900DD4A-D46C-4E7F-A78C-0EC5A11639D7}"/>
    <cellStyle name="40% - Accent3 5 3" xfId="695" xr:uid="{F91A6046-8FA6-4510-A7AC-D07CBE8ABE1C}"/>
    <cellStyle name="40% - Accent3 6" xfId="696" xr:uid="{70FC4371-0959-4851-9F07-6CD0754A5D2E}"/>
    <cellStyle name="40% - Accent3 6 2" xfId="697" xr:uid="{07FA54B4-85B4-4527-90BA-A82ADA4F325D}"/>
    <cellStyle name="40% - Accent3 6 3" xfId="698" xr:uid="{0947A466-84FE-4138-8AF9-639CA94EB971}"/>
    <cellStyle name="40% - Accent3 7" xfId="699" xr:uid="{038E41CF-D366-448D-AB02-A3EC7C699824}"/>
    <cellStyle name="40% - Accent3 7 2" xfId="700" xr:uid="{27648AD6-5C3D-436F-95F1-636337684AB5}"/>
    <cellStyle name="40% - Accent3 7 3" xfId="701" xr:uid="{C850065A-1571-435C-97E3-BD7933138EAB}"/>
    <cellStyle name="40% - Accent3 8" xfId="702" xr:uid="{07361001-FED6-4068-B5C0-F13AB3AC5191}"/>
    <cellStyle name="40% - Accent3 8 2" xfId="703" xr:uid="{D17EEF27-BEB8-4A55-83B3-07B5D54A82BC}"/>
    <cellStyle name="40% - Accent3 8 3" xfId="704" xr:uid="{D4F32107-197F-4FC5-B235-6D6AA5BD6CA5}"/>
    <cellStyle name="40% - Accent3 9" xfId="705" xr:uid="{47D3C78D-C044-4457-9219-2CDA442855A7}"/>
    <cellStyle name="40% - Accent3 9 2" xfId="706" xr:uid="{4B4289DD-CA52-4C8E-A516-A0880C86EDC7}"/>
    <cellStyle name="40% - Accent3 9 3" xfId="707" xr:uid="{94BCD945-E073-428C-974B-89F37E091E0C}"/>
    <cellStyle name="40% - Accent4 10" xfId="708" xr:uid="{3C02A315-2172-4518-B34E-39D85221A308}"/>
    <cellStyle name="40% - Accent4 10 2" xfId="709" xr:uid="{3F638AFC-B10C-43DA-BD1C-5F52AA0BF7A1}"/>
    <cellStyle name="40% - Accent4 11" xfId="710" xr:uid="{F586E28B-7A2C-473F-A41C-D03A5942C94B}"/>
    <cellStyle name="40% - Accent4 11 2" xfId="711" xr:uid="{7878D86A-23D7-4ECF-BCA9-312716B69E73}"/>
    <cellStyle name="40% - Accent4 12" xfId="712" xr:uid="{6FE114FD-A253-4FFD-A11E-B9E28B9518B6}"/>
    <cellStyle name="40% - Accent4 12 2" xfId="713" xr:uid="{63DFA47C-4240-4CA1-BBDB-EB88634BB604}"/>
    <cellStyle name="40% - Accent4 13" xfId="714" xr:uid="{70B3BB93-EA21-4347-85D1-E73988A2F724}"/>
    <cellStyle name="40% - Accent4 13 2" xfId="715" xr:uid="{BC6D0CAF-B077-4CE8-99A6-A4022C271098}"/>
    <cellStyle name="40% - Accent4 14" xfId="716" xr:uid="{94B84804-DF93-4095-87A4-BA329B081B97}"/>
    <cellStyle name="40% - Accent4 15" xfId="3802" xr:uid="{0F88D796-549E-4BE7-8553-958552927AA9}"/>
    <cellStyle name="40% - Accent4 2" xfId="717" xr:uid="{AAFEF71E-F522-46D5-947A-86FC5E9C368A}"/>
    <cellStyle name="40% - Accent4 2 2" xfId="718" xr:uid="{40FDA0D0-0586-445A-9F10-C25922296237}"/>
    <cellStyle name="40% - Accent4 2 3" xfId="719" xr:uid="{1D1D9C8F-C8D9-49EA-BB5F-2292EA8A1DA2}"/>
    <cellStyle name="40% - Accent4 2 4" xfId="720" xr:uid="{F3F3BB05-AE59-4008-B24F-DEB60E726E52}"/>
    <cellStyle name="40% - Accent4 2 5" xfId="721" xr:uid="{10F32E61-A26E-45DE-89CD-BDD16DC4F747}"/>
    <cellStyle name="40% - Accent4 2 6" xfId="722" xr:uid="{EB66FFB3-D4D7-4FDB-8998-9762D781CAB6}"/>
    <cellStyle name="40% - Accent4 2 7" xfId="723" xr:uid="{058B87A8-D49B-47AB-A823-4307D07AC6D6}"/>
    <cellStyle name="40% - Accent4 2 8" xfId="724" xr:uid="{BAC9E4A6-4A6C-4640-AD9F-831F6F69BBB1}"/>
    <cellStyle name="40% - Accent4 2 9" xfId="725" xr:uid="{035D055B-5876-4673-977A-3E74D0568CA6}"/>
    <cellStyle name="40% - Accent4 2_16-17" xfId="726" xr:uid="{FDF5EFE2-661C-4CBB-91D3-BAED55C4C2A7}"/>
    <cellStyle name="40% - Accent4 3" xfId="727" xr:uid="{4CB0A05A-98A7-4F9E-8CFB-6862AE3A7D60}"/>
    <cellStyle name="40% - Accent4 3 2" xfId="728" xr:uid="{6A80904E-8EE9-42FB-A6B9-0671B2CF6934}"/>
    <cellStyle name="40% - Accent4 4" xfId="729" xr:uid="{D465B179-7A58-4722-B1F6-95348FEC5EC6}"/>
    <cellStyle name="40% - Accent4 4 2" xfId="730" xr:uid="{58FF67CB-C5BB-4172-B3C0-952B5B09CFA9}"/>
    <cellStyle name="40% - Accent4 5" xfId="731" xr:uid="{0685B934-A21D-4A90-85CC-2C2B66BC698F}"/>
    <cellStyle name="40% - Accent4 5 2" xfId="732" xr:uid="{4687E747-2B45-42E6-A5D8-11D3D49164B2}"/>
    <cellStyle name="40% - Accent4 6" xfId="733" xr:uid="{D0879A1C-B94B-48A8-A1B0-EE27064C53FB}"/>
    <cellStyle name="40% - Accent4 6 2" xfId="734" xr:uid="{5A802CD3-3BED-48DD-A454-AD684432EC7F}"/>
    <cellStyle name="40% - Accent4 7" xfId="735" xr:uid="{47D04829-7035-4289-84B6-2DDAC59D885F}"/>
    <cellStyle name="40% - Accent4 7 2" xfId="736" xr:uid="{A785F363-F953-4DF6-AECD-D5FBDC675C12}"/>
    <cellStyle name="40% - Accent4 8" xfId="737" xr:uid="{B55CDB21-3DE2-4429-A60B-061809751C58}"/>
    <cellStyle name="40% - Accent4 8 2" xfId="738" xr:uid="{000F7759-48CA-4712-970C-74C3440A05A2}"/>
    <cellStyle name="40% - Accent4 9" xfId="739" xr:uid="{68FA5CAB-3672-46B0-98DA-3A93582DB629}"/>
    <cellStyle name="40% - Accent4 9 2" xfId="740" xr:uid="{F7C1BB44-DA87-448A-B8AF-8F95143FE9DA}"/>
    <cellStyle name="40% - Accent5 10" xfId="741" xr:uid="{CF7B1998-5891-441D-82C9-CC5890A18B10}"/>
    <cellStyle name="40% - Accent5 10 2" xfId="742" xr:uid="{F2305E92-9707-4EBA-85FA-9FAE9FF400C6}"/>
    <cellStyle name="40% - Accent5 11" xfId="743" xr:uid="{5CD46601-0CC0-44ED-A685-0693C41D71FF}"/>
    <cellStyle name="40% - Accent5 11 2" xfId="744" xr:uid="{A10BCD3A-F435-4577-9496-5CFCB598E8F9}"/>
    <cellStyle name="40% - Accent5 12" xfId="745" xr:uid="{9D0FF7BB-ECB2-4712-87FD-9FD0955A1C99}"/>
    <cellStyle name="40% - Accent5 12 2" xfId="746" xr:uid="{DA77FAF4-431B-46F2-A9C8-63F2DF9B5E56}"/>
    <cellStyle name="40% - Accent5 13" xfId="747" xr:uid="{BB7FDFB8-EABD-45BE-ACE5-BDAFCF489557}"/>
    <cellStyle name="40% - Accent5 13 2" xfId="748" xr:uid="{87394F56-AB99-4BA2-8F26-CE64934B0F8D}"/>
    <cellStyle name="40% - Accent5 14" xfId="749" xr:uid="{9D07CAF0-BE9C-46CD-A13A-77201C7817FF}"/>
    <cellStyle name="40% - Accent5 15" xfId="3803" xr:uid="{9C315BDA-DBB1-464B-A94F-F55CB4EB9E3D}"/>
    <cellStyle name="40% - Accent5 2" xfId="750" xr:uid="{20146F49-6082-4797-AC5D-8ED2183E115E}"/>
    <cellStyle name="40% - Accent5 2 2" xfId="751" xr:uid="{FF64A406-20E8-45C6-9D9A-1F87DC87CA2E}"/>
    <cellStyle name="40% - Accent5 2 3" xfId="752" xr:uid="{09245F58-20CB-4EA2-AB6F-699E35FF315A}"/>
    <cellStyle name="40% - Accent5 2 4" xfId="753" xr:uid="{F8EAA1BD-EBF7-4C10-B7B1-F4879BFBA8A4}"/>
    <cellStyle name="40% - Accent5 2 5" xfId="754" xr:uid="{11578DDC-6781-4273-B4C1-EB723868144A}"/>
    <cellStyle name="40% - Accent5 2 6" xfId="755" xr:uid="{D2377FE4-B90E-4598-AC6A-81AAEA74D02C}"/>
    <cellStyle name="40% - Accent5 2 7" xfId="756" xr:uid="{E1070548-2B11-4739-9564-F9CA0915628A}"/>
    <cellStyle name="40% - Accent5 2 8" xfId="757" xr:uid="{A5D36831-31E9-48E1-B939-DF8175F9C2AD}"/>
    <cellStyle name="40% - Accent5 2 9" xfId="758" xr:uid="{FE6B9132-7E25-40C9-A761-F10715ED6BF2}"/>
    <cellStyle name="40% - Accent5 2_16-17" xfId="759" xr:uid="{649FFB74-4E99-469F-816F-4999D8651777}"/>
    <cellStyle name="40% - Accent5 3" xfId="760" xr:uid="{DA72E33B-07DC-4643-8598-BEAD7340DFBA}"/>
    <cellStyle name="40% - Accent5 3 2" xfId="761" xr:uid="{0E778E97-48F4-4891-A01C-D5674609569D}"/>
    <cellStyle name="40% - Accent5 4" xfId="762" xr:uid="{07DAE4DB-0669-454B-B3AB-D4124C2E1D78}"/>
    <cellStyle name="40% - Accent5 4 2" xfId="763" xr:uid="{60364E9E-6775-426F-8182-6F2E3990D949}"/>
    <cellStyle name="40% - Accent5 5" xfId="764" xr:uid="{AFA1B81C-10AB-4F9F-8181-E6A41694BA37}"/>
    <cellStyle name="40% - Accent5 5 2" xfId="765" xr:uid="{975851D6-A788-48FB-BC5B-FF167B7B3966}"/>
    <cellStyle name="40% - Accent5 6" xfId="766" xr:uid="{BD41BD8B-DD47-4555-BC1B-6E9D752DEFDC}"/>
    <cellStyle name="40% - Accent5 6 2" xfId="767" xr:uid="{70A425CE-839F-4955-A197-DC7BA9A78762}"/>
    <cellStyle name="40% - Accent5 7" xfId="768" xr:uid="{9CDE59B4-A8DB-418E-A812-83740D134D5C}"/>
    <cellStyle name="40% - Accent5 7 2" xfId="769" xr:uid="{11C25947-1FC7-49A9-AE13-448F4ACCB03A}"/>
    <cellStyle name="40% - Accent5 8" xfId="770" xr:uid="{95C30403-D681-4D35-8472-979A35AE869E}"/>
    <cellStyle name="40% - Accent5 8 2" xfId="771" xr:uid="{6FD3CF27-CEBF-4B3E-ADCD-AFD2C3D8F268}"/>
    <cellStyle name="40% - Accent5 9" xfId="772" xr:uid="{A76DBBAB-3EB8-4C12-9C61-DD44C7E72AA2}"/>
    <cellStyle name="40% - Accent5 9 2" xfId="773" xr:uid="{B2F0356D-6728-429F-85F1-EE2F6BEFD61E}"/>
    <cellStyle name="40% - Accent6 10" xfId="774" xr:uid="{976478FD-DC20-4D3D-B272-1E657EDD56EF}"/>
    <cellStyle name="40% - Accent6 10 2" xfId="775" xr:uid="{5AA10693-638F-4F81-8DA1-A80FAF76F006}"/>
    <cellStyle name="40% - Accent6 10 3" xfId="776" xr:uid="{DA4B4D3A-4875-4C95-8126-D605A50A4216}"/>
    <cellStyle name="40% - Accent6 11" xfId="777" xr:uid="{F81A07C0-1DD6-4133-A43E-708737BCEC93}"/>
    <cellStyle name="40% - Accent6 11 2" xfId="778" xr:uid="{50E5A59B-4CBD-45CF-952F-0E2027A59FBF}"/>
    <cellStyle name="40% - Accent6 11 3" xfId="779" xr:uid="{8D3FBF0D-2D3D-4DD5-826E-5B1B290B2F2F}"/>
    <cellStyle name="40% - Accent6 12" xfId="780" xr:uid="{9A875121-CB0B-4706-B92A-C8189CB8202C}"/>
    <cellStyle name="40% - Accent6 12 2" xfId="781" xr:uid="{FA9A13D7-CDC0-4F09-80DC-E08F9E248BD8}"/>
    <cellStyle name="40% - Accent6 12 3" xfId="782" xr:uid="{A9C9622B-FD78-4D1C-A2C5-612DA4B08D21}"/>
    <cellStyle name="40% - Accent6 13" xfId="783" xr:uid="{663D75C0-D546-45F3-AEE7-507D321076F6}"/>
    <cellStyle name="40% - Accent6 13 2" xfId="784" xr:uid="{3EA6D8C2-031D-4ECB-9DA7-70331FCB4FFF}"/>
    <cellStyle name="40% - Accent6 13 3" xfId="785" xr:uid="{10122745-9EA8-424D-A4E7-16826DB33051}"/>
    <cellStyle name="40% - Accent6 14" xfId="786" xr:uid="{456D5B53-78A9-496A-AD9D-15E03C69110C}"/>
    <cellStyle name="40% - Accent6 15" xfId="3804" xr:uid="{B77767C0-F9CB-4495-AE65-F5DE6F6A6F39}"/>
    <cellStyle name="40% - Accent6 2" xfId="787" xr:uid="{63393420-47F3-41A8-864A-8C79E84D63C3}"/>
    <cellStyle name="40% - Accent6 2 10" xfId="788" xr:uid="{3D49AA26-47F9-4A3F-AB8F-65EDF428C6F0}"/>
    <cellStyle name="40% - Accent6 2 2" xfId="789" xr:uid="{12AC6E29-F434-48A0-8019-38DAB291BBB0}"/>
    <cellStyle name="40% - Accent6 2 2 2" xfId="790" xr:uid="{E244563D-1507-4151-88B0-8146FB68AA87}"/>
    <cellStyle name="40% - Accent6 2 3" xfId="791" xr:uid="{3E5C632D-F630-4FC4-AE1A-46198D99FB59}"/>
    <cellStyle name="40% - Accent6 2 3 2" xfId="792" xr:uid="{9090F31F-2904-496B-893C-3DEFE5BB79FC}"/>
    <cellStyle name="40% - Accent6 2 4" xfId="793" xr:uid="{0A12BCA8-518A-4005-8467-BCDD37C5C2CF}"/>
    <cellStyle name="40% - Accent6 2 4 2" xfId="794" xr:uid="{61B1E133-DD9E-4DEF-B295-24E5C2BBA748}"/>
    <cellStyle name="40% - Accent6 2 5" xfId="795" xr:uid="{DD3795B3-E5A8-48D8-9348-90E20BE97B87}"/>
    <cellStyle name="40% - Accent6 2 5 2" xfId="796" xr:uid="{8866D530-9F16-4E4E-B10D-612D965EAD67}"/>
    <cellStyle name="40% - Accent6 2 6" xfId="797" xr:uid="{93089298-9A75-4590-ADB3-92A293781824}"/>
    <cellStyle name="40% - Accent6 2 6 2" xfId="798" xr:uid="{FD513C4A-026F-464D-BD8D-27287E6A3AB6}"/>
    <cellStyle name="40% - Accent6 2 7" xfId="799" xr:uid="{301534EF-41BD-48E8-96D8-7716B0B3B45D}"/>
    <cellStyle name="40% - Accent6 2 7 2" xfId="800" xr:uid="{4F3DEEEA-2E18-437C-9D73-C6860A082780}"/>
    <cellStyle name="40% - Accent6 2 8" xfId="801" xr:uid="{E838A276-FC0C-4A08-BB5D-499BF3FD18C6}"/>
    <cellStyle name="40% - Accent6 2 8 2" xfId="802" xr:uid="{30BFE567-298A-4FBC-8F91-C4C720989901}"/>
    <cellStyle name="40% - Accent6 2 9" xfId="803" xr:uid="{2458457C-88EE-4CD5-A839-3F804F624E2F}"/>
    <cellStyle name="40% - Accent6 2 9 2" xfId="804" xr:uid="{64EF43D9-9C56-4EB7-A261-E2285D76C1F6}"/>
    <cellStyle name="40% - Accent6 2_16-17" xfId="805" xr:uid="{E7572AD9-B8E0-4A9F-8AC5-D32DD6B2EF8E}"/>
    <cellStyle name="40% - Accent6 3" xfId="806" xr:uid="{0D9AA6F6-D114-441D-BF6E-74024C1BE5EE}"/>
    <cellStyle name="40% - Accent6 3 2" xfId="807" xr:uid="{63BA9D27-EE6F-4922-8254-54122B5F926D}"/>
    <cellStyle name="40% - Accent6 3 3" xfId="808" xr:uid="{AD93B4C3-8C7D-4FC9-826A-4AEC36503D9E}"/>
    <cellStyle name="40% - Accent6 4" xfId="809" xr:uid="{C08E7ED9-26B5-490C-B38A-31B590C8792D}"/>
    <cellStyle name="40% - Accent6 4 2" xfId="810" xr:uid="{2591B317-E682-4E68-B9D6-94DB36D312E4}"/>
    <cellStyle name="40% - Accent6 4 3" xfId="811" xr:uid="{B12E7FF0-004F-4774-B27F-CC47AD0AC439}"/>
    <cellStyle name="40% - Accent6 5" xfId="812" xr:uid="{9E6832A2-0B9A-4302-BB88-5A401E8C927C}"/>
    <cellStyle name="40% - Accent6 5 2" xfId="813" xr:uid="{2DB892D6-0099-4A3E-A3A9-5C0F8FD42202}"/>
    <cellStyle name="40% - Accent6 5 3" xfId="814" xr:uid="{8F2E6963-5BAF-4543-8557-486EF991CC47}"/>
    <cellStyle name="40% - Accent6 6" xfId="815" xr:uid="{BCE4400A-1349-4CB1-9CF3-E3F8E1714F9A}"/>
    <cellStyle name="40% - Accent6 6 2" xfId="816" xr:uid="{70489A29-E2C6-444F-AEC2-E707E5CA15D7}"/>
    <cellStyle name="40% - Accent6 6 3" xfId="817" xr:uid="{2F9B4705-67AE-4DA5-9965-4198389FF143}"/>
    <cellStyle name="40% - Accent6 7" xfId="818" xr:uid="{4745443B-A999-4DD4-B7F9-97569960FD84}"/>
    <cellStyle name="40% - Accent6 7 2" xfId="819" xr:uid="{3B296943-6AF0-41A8-A341-D900ED54E914}"/>
    <cellStyle name="40% - Accent6 7 3" xfId="820" xr:uid="{510F013C-C4F7-485C-A272-E80A786B3E15}"/>
    <cellStyle name="40% - Accent6 8" xfId="821" xr:uid="{CAB8F99F-FE04-4677-9D1A-027B60F28846}"/>
    <cellStyle name="40% - Accent6 8 2" xfId="822" xr:uid="{D471226F-BA4A-4BBB-A1C4-1CE397637ED4}"/>
    <cellStyle name="40% - Accent6 8 3" xfId="823" xr:uid="{31A3FBE1-1E29-49FC-966B-C67A5AE74B67}"/>
    <cellStyle name="40% - Accent6 9" xfId="824" xr:uid="{83F3FE98-0986-469C-9F10-8CE28C06AEC5}"/>
    <cellStyle name="40% - Accent6 9 2" xfId="825" xr:uid="{2A2EAD36-F077-4213-B381-7CF0299B06E3}"/>
    <cellStyle name="40% - Accent6 9 3" xfId="826" xr:uid="{98664993-F0E5-4E24-8B21-BD672641CFA5}"/>
    <cellStyle name="60% - Accent1 10" xfId="827" xr:uid="{4CF155F1-81E6-42F5-87DE-74F4C3E3F08F}"/>
    <cellStyle name="60% - Accent1 10 2" xfId="828" xr:uid="{5E19AD97-AE29-4D7B-9F05-B5E355AD9B3C}"/>
    <cellStyle name="60% - Accent1 11" xfId="829" xr:uid="{68E050E0-388B-41F1-A912-113BC16B1402}"/>
    <cellStyle name="60% - Accent1 11 2" xfId="830" xr:uid="{25D68D64-E599-4963-9D69-460D829FB21B}"/>
    <cellStyle name="60% - Accent1 12" xfId="831" xr:uid="{5D79F6A5-FC07-4BFB-B953-11BD987736B3}"/>
    <cellStyle name="60% - Accent1 12 2" xfId="832" xr:uid="{0D559020-0A00-47BC-B936-F3A0DC6A0636}"/>
    <cellStyle name="60% - Accent1 13" xfId="833" xr:uid="{9093476E-3C74-48DC-96BE-749FBEB32B0A}"/>
    <cellStyle name="60% - Accent1 13 2" xfId="834" xr:uid="{3178CCAE-9F15-47D8-B1AA-2AA5D57BE108}"/>
    <cellStyle name="60% - Accent1 14" xfId="835" xr:uid="{12355730-8677-4339-A255-E640483CBEC3}"/>
    <cellStyle name="60% - Accent1 2" xfId="836" xr:uid="{4306149F-7767-4F8C-B0DC-105011B23DB6}"/>
    <cellStyle name="60% - Accent1 2 2" xfId="837" xr:uid="{B7F0424A-D4DA-4600-88E1-810737AA5756}"/>
    <cellStyle name="60% - Accent1 2_2012" xfId="838" xr:uid="{7B2D3500-9B6B-435E-9326-E1E5B9271802}"/>
    <cellStyle name="60% - Accent1 3" xfId="839" xr:uid="{863E7939-6F9A-4FA2-81BB-C3D990BDDCB7}"/>
    <cellStyle name="60% - Accent1 3 2" xfId="840" xr:uid="{20B4664B-D67E-41B2-92E8-A2866DDDBC4E}"/>
    <cellStyle name="60% - Accent1 4" xfId="841" xr:uid="{58174A19-DA8B-420C-8A0E-B875A45EFF1B}"/>
    <cellStyle name="60% - Accent1 4 2" xfId="842" xr:uid="{76C878FC-EBF7-4E45-BEA6-E48C2163D710}"/>
    <cellStyle name="60% - Accent1 5" xfId="843" xr:uid="{76160D75-BAC8-4C85-9ED1-F2E1B871E7AB}"/>
    <cellStyle name="60% - Accent1 5 2" xfId="844" xr:uid="{FAE65A01-FEA9-44C4-8F93-B5C0D1BC09CA}"/>
    <cellStyle name="60% - Accent1 6" xfId="845" xr:uid="{3A1A1C7B-2C37-4465-8A1D-9A1722D23F26}"/>
    <cellStyle name="60% - Accent1 6 2" xfId="846" xr:uid="{E5E5BB71-0FEE-4037-B434-8271BC03EC2F}"/>
    <cellStyle name="60% - Accent1 7" xfId="847" xr:uid="{54F3BA24-65B0-43CA-BE1F-8D6A98359EC2}"/>
    <cellStyle name="60% - Accent1 7 2" xfId="848" xr:uid="{631A3AD3-DF53-40C1-8EC7-75D78032299A}"/>
    <cellStyle name="60% - Accent1 8" xfId="849" xr:uid="{083F9F16-FBF6-4CC1-A72D-E2140B4C5900}"/>
    <cellStyle name="60% - Accent1 8 2" xfId="850" xr:uid="{476860AE-0520-417A-8670-33DE55C222FC}"/>
    <cellStyle name="60% - Accent1 9" xfId="851" xr:uid="{78AD7E63-24C8-4B8F-BC1E-F5F5B443039C}"/>
    <cellStyle name="60% - Accent1 9 2" xfId="852" xr:uid="{BF6EBFB8-47DE-4DCC-BEFB-2A4601C14E23}"/>
    <cellStyle name="60% - Accent2 10" xfId="853" xr:uid="{9525D602-70D0-415F-A426-C6DC82BD74D3}"/>
    <cellStyle name="60% - Accent2 10 2" xfId="854" xr:uid="{D6AF0492-1812-48AC-9F61-7A54E8A183BA}"/>
    <cellStyle name="60% - Accent2 10 3" xfId="855" xr:uid="{448631F3-5A08-4BA9-BC20-A35ABBDFFF3C}"/>
    <cellStyle name="60% - Accent2 11" xfId="856" xr:uid="{DCDC908E-5F1C-4A6A-B01F-EB2E4440BE26}"/>
    <cellStyle name="60% - Accent2 11 2" xfId="857" xr:uid="{3E5FADCE-2A60-42DA-97E4-493EEB6852C9}"/>
    <cellStyle name="60% - Accent2 11 3" xfId="858" xr:uid="{C57C9BC3-5867-4A30-B480-D1C21FBCDB19}"/>
    <cellStyle name="60% - Accent2 12" xfId="859" xr:uid="{1CC65184-F583-4C10-9A8C-19375173FBB3}"/>
    <cellStyle name="60% - Accent2 12 2" xfId="860" xr:uid="{7D06CB89-ED7F-4145-9F48-0D18134475E2}"/>
    <cellStyle name="60% - Accent2 12 3" xfId="861" xr:uid="{198A7FD4-1905-42A5-952E-5250E6DBB16A}"/>
    <cellStyle name="60% - Accent2 13" xfId="862" xr:uid="{300D34F8-5517-481C-9A09-8E9A2F740D33}"/>
    <cellStyle name="60% - Accent2 13 2" xfId="863" xr:uid="{C70C16A1-03C1-45C8-B5A7-6DBAD2F27152}"/>
    <cellStyle name="60% - Accent2 13 3" xfId="864" xr:uid="{739A72AE-C1DE-49C1-A525-E0D267063135}"/>
    <cellStyle name="60% - Accent2 14" xfId="865" xr:uid="{5DD8AE20-8DD3-4711-ABD1-EAA3C6F2FC28}"/>
    <cellStyle name="60% - Accent2 2" xfId="866" xr:uid="{67A14AEF-7117-4925-B18B-8AD053F3DCDF}"/>
    <cellStyle name="60% - Accent2 2 2" xfId="867" xr:uid="{71BC668B-C5DA-457C-A609-4A2E9CE24B68}"/>
    <cellStyle name="60% - Accent2 2 2 2" xfId="868" xr:uid="{8095CAA4-867C-4AA9-BB29-554496D3B574}"/>
    <cellStyle name="60% - Accent2 2 3" xfId="869" xr:uid="{6148AC0F-B165-495E-829B-C2A0A93AEAA3}"/>
    <cellStyle name="60% - Accent2 2_2012" xfId="870" xr:uid="{973C0EEB-CDB0-41EF-9728-3694B185D29D}"/>
    <cellStyle name="60% - Accent2 3" xfId="871" xr:uid="{474ED5FF-47DF-4929-AA67-DA82D14A3C55}"/>
    <cellStyle name="60% - Accent2 3 2" xfId="872" xr:uid="{50D53FC9-378B-418F-9A0D-E530C9CF411A}"/>
    <cellStyle name="60% - Accent2 3 3" xfId="873" xr:uid="{77E0D9E8-DF65-4ED6-B3C0-22C8F1DC48FC}"/>
    <cellStyle name="60% - Accent2 4" xfId="874" xr:uid="{917CCBC4-DAFF-4ABE-88CB-E385FF3CD53E}"/>
    <cellStyle name="60% - Accent2 4 2" xfId="875" xr:uid="{5CB7C643-8515-4BC8-B02D-37A946C72D81}"/>
    <cellStyle name="60% - Accent2 4 3" xfId="876" xr:uid="{7763C812-F236-4648-B821-22DBA4166DC7}"/>
    <cellStyle name="60% - Accent2 5" xfId="877" xr:uid="{AAC3C23A-65EE-415E-B4B7-69B7763DF048}"/>
    <cellStyle name="60% - Accent2 5 2" xfId="878" xr:uid="{6AC643EA-2710-486B-A161-9418137EAEE6}"/>
    <cellStyle name="60% - Accent2 5 3" xfId="879" xr:uid="{D570A510-564E-46E4-814A-553E3E7D48A9}"/>
    <cellStyle name="60% - Accent2 6" xfId="880" xr:uid="{E7704A58-B436-405D-8CEB-397A44D4BCBD}"/>
    <cellStyle name="60% - Accent2 6 2" xfId="881" xr:uid="{C97197F4-D11F-4313-94DA-F40EFA88B78B}"/>
    <cellStyle name="60% - Accent2 6 3" xfId="882" xr:uid="{348C07CA-C5B4-44BA-8910-D23F25BE53E0}"/>
    <cellStyle name="60% - Accent2 7" xfId="883" xr:uid="{768B03FB-B3FA-42F1-8DF8-A139508513DC}"/>
    <cellStyle name="60% - Accent2 7 2" xfId="884" xr:uid="{2412AAEB-DC09-4884-AE63-F969E8193EB5}"/>
    <cellStyle name="60% - Accent2 7 3" xfId="885" xr:uid="{A03534C6-D351-4994-AA28-E37D8DECB085}"/>
    <cellStyle name="60% - Accent2 8" xfId="886" xr:uid="{CE65BBCA-A0F8-4E2C-9254-E0FD054DC09C}"/>
    <cellStyle name="60% - Accent2 8 2" xfId="887" xr:uid="{6EF58805-C27E-4D64-9803-ABA6B6CD73C4}"/>
    <cellStyle name="60% - Accent2 8 3" xfId="888" xr:uid="{3DE375E6-136C-42B1-8122-C4B6E355C27C}"/>
    <cellStyle name="60% - Accent2 9" xfId="889" xr:uid="{E0C17588-742A-45AB-8B60-8891FC2F2875}"/>
    <cellStyle name="60% - Accent2 9 2" xfId="890" xr:uid="{7E95DEE2-C0B6-4C4E-9C61-8333A7419A7B}"/>
    <cellStyle name="60% - Accent2 9 3" xfId="891" xr:uid="{6F01485D-BDF1-4F66-8BB8-574A61D0266F}"/>
    <cellStyle name="60% - Accent3 10" xfId="892" xr:uid="{2EA6A2FD-7080-4483-A69C-430954850038}"/>
    <cellStyle name="60% - Accent3 10 2" xfId="893" xr:uid="{654CB41E-C514-401F-B2F3-59B2B6497328}"/>
    <cellStyle name="60% - Accent3 10 3" xfId="894" xr:uid="{CEF1D379-AFA9-4763-906C-01D5C7EF53BA}"/>
    <cellStyle name="60% - Accent3 11" xfId="895" xr:uid="{519B6D78-53E8-4D4B-B9A0-DED2DF3304B5}"/>
    <cellStyle name="60% - Accent3 11 2" xfId="896" xr:uid="{58D58D98-9AEB-4139-88E5-5A4A5792259B}"/>
    <cellStyle name="60% - Accent3 11 3" xfId="897" xr:uid="{E1BFC913-BB38-4C04-8AE5-C115E66567EC}"/>
    <cellStyle name="60% - Accent3 12" xfId="898" xr:uid="{8B7DEF7C-BB78-412B-8A6E-FB08383D3241}"/>
    <cellStyle name="60% - Accent3 12 2" xfId="899" xr:uid="{8D38EE55-F670-4ED8-9E40-64ACE62BCD81}"/>
    <cellStyle name="60% - Accent3 12 3" xfId="900" xr:uid="{A6B5FBF1-837A-440C-89EE-CB13FBF7B809}"/>
    <cellStyle name="60% - Accent3 13" xfId="901" xr:uid="{DDDD82F2-CB75-47D7-A58C-4FF166739CC4}"/>
    <cellStyle name="60% - Accent3 13 2" xfId="902" xr:uid="{B600ABD6-C7E2-494A-BF94-0A9B05A2F483}"/>
    <cellStyle name="60% - Accent3 13 3" xfId="903" xr:uid="{38402598-5993-4229-9BFF-AC34B51827E6}"/>
    <cellStyle name="60% - Accent3 14" xfId="904" xr:uid="{CFF4CC65-5809-44D6-BF4E-BC3E1B836275}"/>
    <cellStyle name="60% - Accent3 2" xfId="905" xr:uid="{FF1651D9-1C5D-472F-B769-B959B9441367}"/>
    <cellStyle name="60% - Accent3 2 2" xfId="906" xr:uid="{200C84AB-0E5A-41F2-851E-2AF8C3A0DB19}"/>
    <cellStyle name="60% - Accent3 2 2 2" xfId="907" xr:uid="{3920CFBC-4CA9-4C89-BC91-BA54C5930AE4}"/>
    <cellStyle name="60% - Accent3 2 3" xfId="908" xr:uid="{BDE1B9DB-CC96-43FE-97B5-B19761CCC67D}"/>
    <cellStyle name="60% - Accent3 2_2011-12 sarguru" xfId="909" xr:uid="{498E5B20-99A1-4012-853D-EFE45038B76A}"/>
    <cellStyle name="60% - Accent3 3" xfId="910" xr:uid="{3FFCB28C-85C0-4CED-97F8-4D6F18D94587}"/>
    <cellStyle name="60% - Accent3 3 2" xfId="911" xr:uid="{471257D4-0784-4AFE-83A2-91892ADB8009}"/>
    <cellStyle name="60% - Accent3 3 3" xfId="912" xr:uid="{4208DE37-E9F3-400A-9D4C-4A0D5AF0129A}"/>
    <cellStyle name="60% - Accent3 4" xfId="913" xr:uid="{6BA1671E-A46D-4D30-8FF7-976C05D76DE6}"/>
    <cellStyle name="60% - Accent3 4 2" xfId="914" xr:uid="{A4A0DC69-FF42-4489-A4D4-5E24D7A3D553}"/>
    <cellStyle name="60% - Accent3 4 3" xfId="915" xr:uid="{DDE2B3B6-06EE-4847-91B6-FFE3266F5137}"/>
    <cellStyle name="60% - Accent3 5" xfId="916" xr:uid="{5AC04630-F9B0-4CB7-8099-DA6646A26336}"/>
    <cellStyle name="60% - Accent3 5 2" xfId="917" xr:uid="{CA1B6BB5-5D09-41C9-8252-24A538D56090}"/>
    <cellStyle name="60% - Accent3 5 3" xfId="918" xr:uid="{3C37B918-C369-49AF-A284-3601CD4E2A45}"/>
    <cellStyle name="60% - Accent3 6" xfId="919" xr:uid="{E85D3250-1628-43B2-83DC-5E5C94D9E035}"/>
    <cellStyle name="60% - Accent3 6 2" xfId="920" xr:uid="{9B07B946-8435-4BB7-8446-4A94B66029CD}"/>
    <cellStyle name="60% - Accent3 6 3" xfId="921" xr:uid="{23CD11C1-4DFC-4CD3-AB7D-7DAF3F1795CB}"/>
    <cellStyle name="60% - Accent3 7" xfId="922" xr:uid="{1BBA98BA-3C10-4C88-94C4-77680C3C2C7C}"/>
    <cellStyle name="60% - Accent3 7 2" xfId="923" xr:uid="{A2A56A2F-D9F0-4D94-9D4C-FFF8819DAAE5}"/>
    <cellStyle name="60% - Accent3 7 3" xfId="924" xr:uid="{A845994F-1B00-484E-B5DB-46FCB6D15FE9}"/>
    <cellStyle name="60% - Accent3 8" xfId="925" xr:uid="{CBFDD0AE-9B5C-4E15-8DAD-3A0D43D93202}"/>
    <cellStyle name="60% - Accent3 8 2" xfId="926" xr:uid="{C4265F17-1D14-4E7D-A748-25F7042EFF4C}"/>
    <cellStyle name="60% - Accent3 8 3" xfId="927" xr:uid="{7EB078A0-A99D-4FDD-8BCA-D21A43B3189D}"/>
    <cellStyle name="60% - Accent3 9" xfId="928" xr:uid="{F96DF234-DB76-4049-B1F2-308385581136}"/>
    <cellStyle name="60% - Accent3 9 2" xfId="929" xr:uid="{E70FE6CC-E5E6-43CD-BBEA-312003A328C9}"/>
    <cellStyle name="60% - Accent3 9 3" xfId="930" xr:uid="{809F01CE-48B0-4FD7-98E4-0662E8C9CB24}"/>
    <cellStyle name="60% - Accent4 10" xfId="931" xr:uid="{FA2AB629-19F1-4CD7-B410-BECE33952C54}"/>
    <cellStyle name="60% - Accent4 10 2" xfId="932" xr:uid="{8D764CA0-A1A9-4559-85C5-593888DAC6D6}"/>
    <cellStyle name="60% - Accent4 11" xfId="933" xr:uid="{550FCD5B-5B57-4834-A613-E3F7C2FFF89D}"/>
    <cellStyle name="60% - Accent4 11 2" xfId="934" xr:uid="{258EE0FE-939A-4C9B-BDDE-AEE75669F6BE}"/>
    <cellStyle name="60% - Accent4 12" xfId="935" xr:uid="{A28869C3-C861-4990-ACF3-4763B912889D}"/>
    <cellStyle name="60% - Accent4 12 2" xfId="936" xr:uid="{55EED4CD-B79C-46A6-81AF-9A817896221C}"/>
    <cellStyle name="60% - Accent4 13" xfId="937" xr:uid="{FA8C13AF-1917-4476-9781-318C69E60A0A}"/>
    <cellStyle name="60% - Accent4 13 2" xfId="938" xr:uid="{403A68DC-0C81-4BEF-A172-A3E319795E70}"/>
    <cellStyle name="60% - Accent4 14" xfId="939" xr:uid="{CE13960E-DC7D-4757-A87A-26599E2DADC2}"/>
    <cellStyle name="60% - Accent4 2" xfId="940" xr:uid="{B583947D-2291-4371-9415-B36CADD1EA29}"/>
    <cellStyle name="60% - Accent4 2 2" xfId="941" xr:uid="{E9AB98EF-317E-4EC3-9445-5903DB65F0CC}"/>
    <cellStyle name="60% - Accent4 2_2012" xfId="942" xr:uid="{BC088C37-412F-4899-90D6-918CAE5E9E01}"/>
    <cellStyle name="60% - Accent4 3" xfId="943" xr:uid="{FAC990E9-9E61-4468-A2AC-6DE2CAFE8529}"/>
    <cellStyle name="60% - Accent4 3 2" xfId="944" xr:uid="{B36331D6-E667-4996-B4A4-9D7B530BACC7}"/>
    <cellStyle name="60% - Accent4 4" xfId="945" xr:uid="{370C847C-0E36-4C5F-AEFE-8FD7665B3FDC}"/>
    <cellStyle name="60% - Accent4 4 2" xfId="946" xr:uid="{FCD2F396-68F7-4CF6-89CF-D4E602668398}"/>
    <cellStyle name="60% - Accent4 5" xfId="947" xr:uid="{0A5C9B3E-22AF-4FDC-ADD0-B4C90D8A14C9}"/>
    <cellStyle name="60% - Accent4 5 2" xfId="948" xr:uid="{7CB5E23B-CB30-4C97-BA03-C82935547559}"/>
    <cellStyle name="60% - Accent4 6" xfId="949" xr:uid="{1F47E504-9D95-4765-B940-0CED83E97A4D}"/>
    <cellStyle name="60% - Accent4 6 2" xfId="950" xr:uid="{6865435A-5F26-4353-8D4B-12151F9D9079}"/>
    <cellStyle name="60% - Accent4 7" xfId="951" xr:uid="{2F6FD642-9C17-4548-B7FA-AE724C79092A}"/>
    <cellStyle name="60% - Accent4 7 2" xfId="952" xr:uid="{D74B3DF6-4A52-46B9-8B2C-E6C2265DAF79}"/>
    <cellStyle name="60% - Accent4 8" xfId="953" xr:uid="{ACFC3A57-C2B1-454C-8D2E-31D74CC6376A}"/>
    <cellStyle name="60% - Accent4 8 2" xfId="954" xr:uid="{49DC761E-5AD6-4FBA-BA4E-A2E440F9003C}"/>
    <cellStyle name="60% - Accent4 9" xfId="955" xr:uid="{780BC1E2-4A22-4FB1-9F33-CA36BC318405}"/>
    <cellStyle name="60% - Accent4 9 2" xfId="956" xr:uid="{F0D28547-50DA-429F-A3C4-6D643B7023E3}"/>
    <cellStyle name="60% - Accent5 10" xfId="957" xr:uid="{D8D6B5A2-921D-4F1C-A64F-22BDF579CE26}"/>
    <cellStyle name="60% - Accent5 10 2" xfId="958" xr:uid="{3E35D014-4D69-49C1-A025-03C1EB1A69F8}"/>
    <cellStyle name="60% - Accent5 11" xfId="959" xr:uid="{CA6D6E6A-DD8D-4F68-8946-BBEE656FE4B1}"/>
    <cellStyle name="60% - Accent5 11 2" xfId="960" xr:uid="{B4CDE96E-D06A-41CD-9FEE-2C0AD8F0BC16}"/>
    <cellStyle name="60% - Accent5 12" xfId="961" xr:uid="{5240A4C2-37AA-4A97-B2BC-9894ACC637CD}"/>
    <cellStyle name="60% - Accent5 12 2" xfId="962" xr:uid="{486D26ED-7988-4949-BA0F-E779BC0F9B14}"/>
    <cellStyle name="60% - Accent5 13" xfId="963" xr:uid="{0C6C8777-0F38-423A-B0BE-DC01E95AF7D5}"/>
    <cellStyle name="60% - Accent5 13 2" xfId="964" xr:uid="{FF164180-6F81-4EAB-8E39-D55AAB3C5ABD}"/>
    <cellStyle name="60% - Accent5 14" xfId="965" xr:uid="{8C177D47-25F1-4E92-A5E2-98BDDA7BBDB0}"/>
    <cellStyle name="60% - Accent5 2" xfId="966" xr:uid="{1CE1A3B1-0A17-4E05-9346-4A7C3351F192}"/>
    <cellStyle name="60% - Accent5 2 2" xfId="967" xr:uid="{26D2F0C3-47B0-4F1A-8E0E-ADC794FD078A}"/>
    <cellStyle name="60% - Accent5 2_2012" xfId="968" xr:uid="{2805EE65-7066-4FCA-8A3B-13CAECAA8683}"/>
    <cellStyle name="60% - Accent5 3" xfId="969" xr:uid="{74721FE1-87E6-4FA4-8A1D-6FD791675031}"/>
    <cellStyle name="60% - Accent5 3 2" xfId="970" xr:uid="{F0F56919-C00E-4936-B18F-A725EB505E7D}"/>
    <cellStyle name="60% - Accent5 4" xfId="971" xr:uid="{B09C9649-6914-4542-AC0D-9ACD34023224}"/>
    <cellStyle name="60% - Accent5 4 2" xfId="972" xr:uid="{A3078A15-6665-4491-A508-37BDB1E51241}"/>
    <cellStyle name="60% - Accent5 5" xfId="973" xr:uid="{0955C03D-5E3F-4021-998B-44765F8CDED6}"/>
    <cellStyle name="60% - Accent5 5 2" xfId="974" xr:uid="{5F0CB6ED-8ACC-401E-B003-443DA80599B0}"/>
    <cellStyle name="60% - Accent5 6" xfId="975" xr:uid="{3768538C-A68D-4E39-9062-3DD5670C8C83}"/>
    <cellStyle name="60% - Accent5 6 2" xfId="976" xr:uid="{CC7ED62E-3A2B-4669-8F28-E583ED4BC450}"/>
    <cellStyle name="60% - Accent5 7" xfId="977" xr:uid="{9CD8D066-69A4-42CE-98E0-C7AAA81169BE}"/>
    <cellStyle name="60% - Accent5 7 2" xfId="978" xr:uid="{0442FD55-6095-4E20-9DFB-37B365027385}"/>
    <cellStyle name="60% - Accent5 8" xfId="979" xr:uid="{92A38581-1F89-4390-AC48-4899FBD924FB}"/>
    <cellStyle name="60% - Accent5 8 2" xfId="980" xr:uid="{82D72C14-A1F7-4B97-AF28-9602F6A8D168}"/>
    <cellStyle name="60% - Accent5 9" xfId="981" xr:uid="{AD64D36A-A2C6-432E-B332-EFB482726A99}"/>
    <cellStyle name="60% - Accent5 9 2" xfId="982" xr:uid="{4D1CCDEE-2030-4B2D-86DD-F2758A1709B9}"/>
    <cellStyle name="60% - Accent6 10" xfId="983" xr:uid="{CBA75B28-59FB-4A96-9404-FF841D9CA809}"/>
    <cellStyle name="60% - Accent6 10 2" xfId="984" xr:uid="{43F895C1-E87D-4FA4-B14C-72F3E33DEFD9}"/>
    <cellStyle name="60% - Accent6 10 3" xfId="985" xr:uid="{BBB3BDA7-AB89-4EEE-AF96-FFDA6A904E4E}"/>
    <cellStyle name="60% - Accent6 11" xfId="986" xr:uid="{52F905DC-A145-4179-AE1A-D2C0E8829542}"/>
    <cellStyle name="60% - Accent6 11 2" xfId="987" xr:uid="{D65AE833-E854-4435-A321-8CA5235E3901}"/>
    <cellStyle name="60% - Accent6 11 3" xfId="988" xr:uid="{A68EE678-9CAE-4EE6-AFE0-899C569EF302}"/>
    <cellStyle name="60% - Accent6 12" xfId="989" xr:uid="{F47A4AE8-AE3C-46E2-9E6F-25464E42FDA3}"/>
    <cellStyle name="60% - Accent6 12 2" xfId="990" xr:uid="{DB59E506-3462-493C-A6F3-B2BE4ADCF5A0}"/>
    <cellStyle name="60% - Accent6 12 3" xfId="991" xr:uid="{709FD563-76E3-4627-920B-DF1A6CA9F1A0}"/>
    <cellStyle name="60% - Accent6 13" xfId="992" xr:uid="{C2C9AA89-B3A1-4F59-806A-92B39A3E6F23}"/>
    <cellStyle name="60% - Accent6 13 2" xfId="993" xr:uid="{2D6D3A8E-1EA8-4155-ACD8-445B711194D3}"/>
    <cellStyle name="60% - Accent6 13 3" xfId="994" xr:uid="{7A8CA28F-FF7E-41A6-A2DE-67B6373D0454}"/>
    <cellStyle name="60% - Accent6 14" xfId="995" xr:uid="{314F1A2A-3A57-4541-ACF3-E36ADFACBFA6}"/>
    <cellStyle name="60% - Accent6 2" xfId="996" xr:uid="{4762F0C6-39C6-4064-BB07-0EB3603CB4C1}"/>
    <cellStyle name="60% - Accent6 2 2" xfId="997" xr:uid="{096EA5A7-5206-4B6E-BEA3-F8C4911F4265}"/>
    <cellStyle name="60% - Accent6 2 2 2" xfId="998" xr:uid="{2FD0942E-1338-4039-973E-79781CDDF70F}"/>
    <cellStyle name="60% - Accent6 2 3" xfId="999" xr:uid="{5648F4C9-717F-4727-9001-917E61F869EC}"/>
    <cellStyle name="60% - Accent6 2_2012" xfId="1000" xr:uid="{AB563DD6-7B00-41CF-8865-60EE5723FE59}"/>
    <cellStyle name="60% - Accent6 3" xfId="1001" xr:uid="{E9111160-FFA7-4F45-ADE4-64676A478D6E}"/>
    <cellStyle name="60% - Accent6 3 2" xfId="1002" xr:uid="{38669816-1F55-46D0-AD25-1680070CD026}"/>
    <cellStyle name="60% - Accent6 3 3" xfId="1003" xr:uid="{49910591-6F2B-4BC0-88DE-1A874F885C3A}"/>
    <cellStyle name="60% - Accent6 4" xfId="1004" xr:uid="{DA7C9E35-4495-4FFA-B2AC-1889B13E8ED6}"/>
    <cellStyle name="60% - Accent6 4 2" xfId="1005" xr:uid="{125D0F64-EA21-496A-8552-8E4834213CC4}"/>
    <cellStyle name="60% - Accent6 4 3" xfId="1006" xr:uid="{CA948770-E6CC-4929-991F-9C12E5E8CA15}"/>
    <cellStyle name="60% - Accent6 5" xfId="1007" xr:uid="{503FE658-4A89-480F-9980-A22361815A75}"/>
    <cellStyle name="60% - Accent6 5 2" xfId="1008" xr:uid="{03B6EEB0-4CCE-4C9E-8A99-9DB8560DA917}"/>
    <cellStyle name="60% - Accent6 5 3" xfId="1009" xr:uid="{6CF16BCF-5487-4D17-BD60-983656247261}"/>
    <cellStyle name="60% - Accent6 6" xfId="1010" xr:uid="{2DE6F66C-BB1F-45E1-BDF2-9B5F4EC0600F}"/>
    <cellStyle name="60% - Accent6 6 2" xfId="1011" xr:uid="{9310F0F6-961C-4A5A-9B65-50EBCC1352F4}"/>
    <cellStyle name="60% - Accent6 6 3" xfId="1012" xr:uid="{31FD702C-0EDB-44A5-AFE0-BAD8490FDD23}"/>
    <cellStyle name="60% - Accent6 7" xfId="1013" xr:uid="{F226E5BA-E549-4D05-850B-E608A8C39FF2}"/>
    <cellStyle name="60% - Accent6 7 2" xfId="1014" xr:uid="{EF166E7E-CC13-49B0-B47D-BB491D4E8A9B}"/>
    <cellStyle name="60% - Accent6 7 3" xfId="1015" xr:uid="{21305718-3934-41F5-B2B7-60E42C55C51B}"/>
    <cellStyle name="60% - Accent6 8" xfId="1016" xr:uid="{CFEF2CA8-6D90-40A7-BF59-638C2E834751}"/>
    <cellStyle name="60% - Accent6 8 2" xfId="1017" xr:uid="{3398E21D-D41D-448C-B75B-97A4D15C67E3}"/>
    <cellStyle name="60% - Accent6 8 3" xfId="1018" xr:uid="{8467E0CB-C82A-4A02-873E-035BC14633BF}"/>
    <cellStyle name="60% - Accent6 9" xfId="1019" xr:uid="{84E2F846-5DCF-4035-B168-0E7CC61643C1}"/>
    <cellStyle name="60% - Accent6 9 2" xfId="1020" xr:uid="{CE4D738E-F1A4-4AF4-AD47-54C1CD678FB3}"/>
    <cellStyle name="60% - Accent6 9 3" xfId="1021" xr:uid="{88C92A5B-A071-4649-8634-70EE97D768AE}"/>
    <cellStyle name="Accent1 10" xfId="1022" xr:uid="{2FBE15BE-8DD0-40E0-8E78-4C9A753DB7E7}"/>
    <cellStyle name="Accent1 10 2" xfId="1023" xr:uid="{653C8758-3861-408A-82C6-12BC402CC369}"/>
    <cellStyle name="Accent1 11" xfId="1024" xr:uid="{E519CA4F-E236-406F-96C3-0BA7493FAC50}"/>
    <cellStyle name="Accent1 11 2" xfId="1025" xr:uid="{FDDCF58A-60D8-4DB7-98CD-34CFC81D38A8}"/>
    <cellStyle name="Accent1 12" xfId="1026" xr:uid="{5F36C44C-2127-4BD0-AAB0-916667967C72}"/>
    <cellStyle name="Accent1 12 2" xfId="1027" xr:uid="{CFFF66AD-D37D-452C-B248-7891581571A5}"/>
    <cellStyle name="Accent1 13" xfId="1028" xr:uid="{3A1D3531-34DA-4900-ABFC-A6E3954E8D54}"/>
    <cellStyle name="Accent1 13 2" xfId="1029" xr:uid="{FA1C95B9-0619-4808-87C5-A638E86A882E}"/>
    <cellStyle name="Accent1 14" xfId="1030" xr:uid="{16F311D3-BBFB-4650-8DE2-D84894C8B4A6}"/>
    <cellStyle name="Accent1 2" xfId="1031" xr:uid="{3C5FB993-C45A-4325-8A1E-4413670A84D4}"/>
    <cellStyle name="Accent1 2 2" xfId="1032" xr:uid="{B2FE7B7B-9BA3-4185-9C86-213DC375C815}"/>
    <cellStyle name="Accent1 2_2012" xfId="1033" xr:uid="{0D356AA7-1E87-4774-8A38-DE52DC502EBC}"/>
    <cellStyle name="Accent1 3" xfId="1034" xr:uid="{FD097632-8484-45CB-840F-1093661531E5}"/>
    <cellStyle name="Accent1 3 2" xfId="1035" xr:uid="{123950EE-748B-4377-93A0-E97DCCC781E4}"/>
    <cellStyle name="Accent1 4" xfId="1036" xr:uid="{AD7E4E68-6273-4981-83AE-4BDFC43881EE}"/>
    <cellStyle name="Accent1 4 2" xfId="1037" xr:uid="{06990C29-23FF-4621-A0FA-CBD23CDE9DA7}"/>
    <cellStyle name="Accent1 5" xfId="1038" xr:uid="{8F3C22E7-F7F8-4782-B43C-9D54F9B7E783}"/>
    <cellStyle name="Accent1 5 2" xfId="1039" xr:uid="{456CB448-349F-430B-8C89-930F854ABD6A}"/>
    <cellStyle name="Accent1 6" xfId="1040" xr:uid="{BA0D28C8-EF59-42E1-B09A-FE195098F510}"/>
    <cellStyle name="Accent1 6 2" xfId="1041" xr:uid="{4BA7175D-C742-4B8C-9CFC-539D7B036782}"/>
    <cellStyle name="Accent1 7" xfId="1042" xr:uid="{8A6EBFC7-73C0-4142-81F5-DF2032CF1877}"/>
    <cellStyle name="Accent1 7 2" xfId="1043" xr:uid="{C82E11DB-20B6-4297-BAC2-885DF06598D8}"/>
    <cellStyle name="Accent1 8" xfId="1044" xr:uid="{2B13C653-1712-49CE-ACF6-BCE6C335992A}"/>
    <cellStyle name="Accent1 8 2" xfId="1045" xr:uid="{CA5F771C-FD0D-48CE-A100-A630E2F9E814}"/>
    <cellStyle name="Accent1 9" xfId="1046" xr:uid="{77531CF0-51DA-46B7-9336-73148AAA6E87}"/>
    <cellStyle name="Accent1 9 2" xfId="1047" xr:uid="{22F959A9-2CFB-4831-9147-BA5832456C19}"/>
    <cellStyle name="Accent2 10" xfId="1048" xr:uid="{45C0AECC-DF9A-485B-9478-31E19E0D9887}"/>
    <cellStyle name="Accent2 10 2" xfId="1049" xr:uid="{8A8A5304-968D-4A44-94F7-8F83A1CC7DC7}"/>
    <cellStyle name="Accent2 11" xfId="1050" xr:uid="{940FC7AD-49C5-400E-AFDB-715424DBC050}"/>
    <cellStyle name="Accent2 11 2" xfId="1051" xr:uid="{A9EF3C11-B14A-4E65-ACE9-1A9602CE9244}"/>
    <cellStyle name="Accent2 12" xfId="1052" xr:uid="{CD6F7C0B-1E19-437D-8701-11F5ADB8F327}"/>
    <cellStyle name="Accent2 12 2" xfId="1053" xr:uid="{67F284D1-A5E1-48AF-9FC9-6DD102F0B21D}"/>
    <cellStyle name="Accent2 13" xfId="1054" xr:uid="{8DF88B44-074D-4438-93D7-88EE4BB39E4E}"/>
    <cellStyle name="Accent2 13 2" xfId="1055" xr:uid="{E950EFDB-F905-46DD-BB93-33E771E28A65}"/>
    <cellStyle name="Accent2 14" xfId="1056" xr:uid="{B8CA3DC5-0E79-4F87-AD49-87C63271F691}"/>
    <cellStyle name="Accent2 2" xfId="1057" xr:uid="{804191A3-9992-4045-B0BA-9AD5A4CBD5F6}"/>
    <cellStyle name="Accent2 2 2" xfId="1058" xr:uid="{1875B19F-2C75-49C0-8C68-D2748C02CB82}"/>
    <cellStyle name="Accent2 2_2012" xfId="1059" xr:uid="{70254DF5-CCD2-40EF-81EB-D95DECF2C38C}"/>
    <cellStyle name="Accent2 3" xfId="1060" xr:uid="{CEACE0FC-4798-43E9-92C4-838386256F7E}"/>
    <cellStyle name="Accent2 3 2" xfId="1061" xr:uid="{C786298B-CC85-4D3D-8413-61E2CCB506C2}"/>
    <cellStyle name="Accent2 4" xfId="1062" xr:uid="{7E0473ED-6094-4AD7-BA6B-C0EF1DF9B613}"/>
    <cellStyle name="Accent2 4 2" xfId="1063" xr:uid="{E1D67F0C-61A9-4CAF-B7FD-ACEF3CB105EE}"/>
    <cellStyle name="Accent2 5" xfId="1064" xr:uid="{39B3A473-D9EA-45CA-9C35-AEB73C66C915}"/>
    <cellStyle name="Accent2 5 2" xfId="1065" xr:uid="{F05AF49B-CE47-4719-946F-315CC856F7D9}"/>
    <cellStyle name="Accent2 6" xfId="1066" xr:uid="{5AA170BB-DA35-42CE-AD9A-EDBC06723B6B}"/>
    <cellStyle name="Accent2 6 2" xfId="1067" xr:uid="{5D2FFDA0-089F-4242-B4A3-ADBAAB49B5DB}"/>
    <cellStyle name="Accent2 7" xfId="1068" xr:uid="{DF0C8B7F-23E9-4650-B448-873E0D305194}"/>
    <cellStyle name="Accent2 7 2" xfId="1069" xr:uid="{410AEA2C-4CCB-490D-9C94-75EA1635E3A7}"/>
    <cellStyle name="Accent2 8" xfId="1070" xr:uid="{4633AE6D-D8F0-4984-925E-C71813602547}"/>
    <cellStyle name="Accent2 8 2" xfId="1071" xr:uid="{509A9641-D3E6-4817-8E18-B2C0D3B8A613}"/>
    <cellStyle name="Accent2 9" xfId="1072" xr:uid="{326FC63D-0241-489F-8DF8-91EF2B7D2C3D}"/>
    <cellStyle name="Accent2 9 2" xfId="1073" xr:uid="{1D80CAEB-2EB6-409D-9DDE-EE0F6CDCC7BE}"/>
    <cellStyle name="Accent3 10" xfId="1074" xr:uid="{D46BC8B7-CDA2-44F7-BEA8-DC5B840A8199}"/>
    <cellStyle name="Accent3 10 2" xfId="1075" xr:uid="{A7EBBE7D-3799-422B-91EB-556DC2A3CECA}"/>
    <cellStyle name="Accent3 10 3" xfId="1076" xr:uid="{F9BE0014-C4AC-40C4-97D9-5DBA1F7A75BF}"/>
    <cellStyle name="Accent3 11" xfId="1077" xr:uid="{48D67485-8226-4207-AFD9-D89C0268CA12}"/>
    <cellStyle name="Accent3 11 2" xfId="1078" xr:uid="{11E3FBB8-21C8-4C5C-83B4-839EEDCE368E}"/>
    <cellStyle name="Accent3 11 3" xfId="1079" xr:uid="{0AAB8627-43B7-464C-9BB3-BC7932508805}"/>
    <cellStyle name="Accent3 12" xfId="1080" xr:uid="{0C219540-5104-4BAF-AF7B-640234228F9A}"/>
    <cellStyle name="Accent3 12 2" xfId="1081" xr:uid="{7EA4CEC1-03EE-4645-AD76-EABA83816A33}"/>
    <cellStyle name="Accent3 12 3" xfId="1082" xr:uid="{ADB193A0-EC19-4571-AAD4-1324E7EA780A}"/>
    <cellStyle name="Accent3 13" xfId="1083" xr:uid="{4D4BB6CC-DDF6-4040-8062-1159A3A1DD4F}"/>
    <cellStyle name="Accent3 13 2" xfId="1084" xr:uid="{647EE97C-187B-4727-8947-4F386DC5A6FD}"/>
    <cellStyle name="Accent3 13 3" xfId="1085" xr:uid="{EC239D67-46F3-446A-92CE-037063C654D5}"/>
    <cellStyle name="Accent3 14" xfId="1086" xr:uid="{1D2842ED-1850-4C8E-9D5E-29B232FC513E}"/>
    <cellStyle name="Accent3 2" xfId="1087" xr:uid="{530EA892-4E44-4235-B155-1DA701336308}"/>
    <cellStyle name="Accent3 2 2" xfId="1088" xr:uid="{895420BA-14FD-4BCA-ABA2-8CF04FCE8307}"/>
    <cellStyle name="Accent3 2 2 2" xfId="1089" xr:uid="{2C7F545D-094E-4153-B752-09BCC116A76F}"/>
    <cellStyle name="Accent3 2 3" xfId="1090" xr:uid="{0C9F6C3E-F720-4CF2-B97C-9AC3807FD5F2}"/>
    <cellStyle name="Accent3 2_2012" xfId="1091" xr:uid="{4262A91C-7DBF-46C9-A9F2-2200E82273F7}"/>
    <cellStyle name="Accent3 3" xfId="1092" xr:uid="{96721FFB-CF1F-4B07-BF76-B2060FCB776B}"/>
    <cellStyle name="Accent3 3 2" xfId="1093" xr:uid="{E0FE9B80-8D83-4ACA-AEDE-7F084257429B}"/>
    <cellStyle name="Accent3 3 3" xfId="1094" xr:uid="{CD593BEF-7C99-4506-9C78-5913DF2C15E7}"/>
    <cellStyle name="Accent3 4" xfId="1095" xr:uid="{75E1E330-59C3-45E4-8B34-600A769870B7}"/>
    <cellStyle name="Accent3 4 2" xfId="1096" xr:uid="{CCDA4EF5-4E31-4A07-9FC9-6E6F91BF628B}"/>
    <cellStyle name="Accent3 4 3" xfId="1097" xr:uid="{29D1BB02-10EE-4226-97CD-C05310336964}"/>
    <cellStyle name="Accent3 5" xfId="1098" xr:uid="{6EF16279-A482-462C-811D-8CF439E09C00}"/>
    <cellStyle name="Accent3 5 2" xfId="1099" xr:uid="{2A0CEB09-07E8-4543-9F81-1858452466DD}"/>
    <cellStyle name="Accent3 5 3" xfId="1100" xr:uid="{9D7A66F8-F067-43B9-954F-89BB7DE7FA1F}"/>
    <cellStyle name="Accent3 6" xfId="1101" xr:uid="{EBB7FE72-B9C5-4DDD-9A66-5D57155978B5}"/>
    <cellStyle name="Accent3 6 2" xfId="1102" xr:uid="{896DC482-6C23-46A2-884D-B592AD41B158}"/>
    <cellStyle name="Accent3 6 3" xfId="1103" xr:uid="{380A4872-17FA-40BC-9CB2-3EFBAFACFBF1}"/>
    <cellStyle name="Accent3 7" xfId="1104" xr:uid="{302FE981-841C-4597-B99D-541FF9B8638D}"/>
    <cellStyle name="Accent3 7 2" xfId="1105" xr:uid="{BAE1301A-A0C1-47A0-AEAE-D771DAECB05F}"/>
    <cellStyle name="Accent3 7 3" xfId="1106" xr:uid="{920B15DD-554E-43EC-91F0-0121860856F0}"/>
    <cellStyle name="Accent3 8" xfId="1107" xr:uid="{3C343F7D-54D4-4B42-9274-EF05C1116775}"/>
    <cellStyle name="Accent3 8 2" xfId="1108" xr:uid="{7FB005FB-AB8C-4615-8064-67040A4D23ED}"/>
    <cellStyle name="Accent3 8 3" xfId="1109" xr:uid="{D84F9026-6056-4281-A47F-EC18B7173328}"/>
    <cellStyle name="Accent3 9" xfId="1110" xr:uid="{60D260EA-E68F-4222-B629-6DBB96D60E5C}"/>
    <cellStyle name="Accent3 9 2" xfId="1111" xr:uid="{BFE6793B-D322-41BA-82BA-5CC1ADBE6FB7}"/>
    <cellStyle name="Accent3 9 3" xfId="1112" xr:uid="{57F97FD2-654A-4E20-9218-04CF671C36E7}"/>
    <cellStyle name="Accent4 10" xfId="1113" xr:uid="{62A1352B-1668-41ED-A05B-86C4A8FDD514}"/>
    <cellStyle name="Accent4 10 2" xfId="1114" xr:uid="{D363199C-DBE2-4F6B-A28D-02F5E1BD3063}"/>
    <cellStyle name="Accent4 11" xfId="1115" xr:uid="{02BCC10C-7F02-4D49-B191-6897AFDE292E}"/>
    <cellStyle name="Accent4 11 2" xfId="1116" xr:uid="{AB3E975F-C460-439A-860B-86EC556E3D1F}"/>
    <cellStyle name="Accent4 12" xfId="1117" xr:uid="{7AB28BF5-E8DE-4DAE-9F87-C92AFC638DAE}"/>
    <cellStyle name="Accent4 12 2" xfId="1118" xr:uid="{C21D0E05-06B2-4AE4-956C-3A6E6CEAAB44}"/>
    <cellStyle name="Accent4 13" xfId="1119" xr:uid="{42EB8CC6-3141-4E72-BF6A-28AA54DCFB86}"/>
    <cellStyle name="Accent4 13 2" xfId="1120" xr:uid="{8DE6DC7D-A032-4175-971E-15DCBFD64E46}"/>
    <cellStyle name="Accent4 14" xfId="1121" xr:uid="{E5645424-A2B1-494B-942D-B40603186809}"/>
    <cellStyle name="Accent4 2" xfId="1122" xr:uid="{F282AD91-0769-418F-B33F-5A1AA0678150}"/>
    <cellStyle name="Accent4 2 2" xfId="1123" xr:uid="{7923FAA2-BF17-4776-981B-9B25EFCA4773}"/>
    <cellStyle name="Accent4 2_2012" xfId="1124" xr:uid="{103B6DBC-CB7B-42BA-B23F-14F7BAE8217C}"/>
    <cellStyle name="Accent4 3" xfId="1125" xr:uid="{1C458FFD-8492-4C56-B4DE-42FD9C6C8958}"/>
    <cellStyle name="Accent4 3 2" xfId="1126" xr:uid="{E29AFCC7-8C94-4E88-86F2-D0ACB7202E05}"/>
    <cellStyle name="Accent4 4" xfId="1127" xr:uid="{142B87DB-D2F0-4A72-95C6-051FED263C84}"/>
    <cellStyle name="Accent4 4 2" xfId="1128" xr:uid="{88B670BD-0794-4AF6-8ABE-A5E0E484AA09}"/>
    <cellStyle name="Accent4 5" xfId="1129" xr:uid="{DFC01615-EA69-49B6-9FD5-971BCF542127}"/>
    <cellStyle name="Accent4 5 2" xfId="1130" xr:uid="{8F1E6E4B-BAFC-4987-B4FE-E1BBB54976C4}"/>
    <cellStyle name="Accent4 6" xfId="1131" xr:uid="{3A4B7473-4BB5-4A0E-9FB4-B3A627FEB658}"/>
    <cellStyle name="Accent4 6 2" xfId="1132" xr:uid="{FB5029C3-48B3-4CA9-AEC0-10884DECB255}"/>
    <cellStyle name="Accent4 7" xfId="1133" xr:uid="{0B29B783-E8CC-4A54-9783-8C17FFE7B92A}"/>
    <cellStyle name="Accent4 7 2" xfId="1134" xr:uid="{6133C637-8777-4F13-B3D0-75AA4C43DC19}"/>
    <cellStyle name="Accent4 8" xfId="1135" xr:uid="{2CF90D27-AE0C-4BC7-820E-8C43B44F46F8}"/>
    <cellStyle name="Accent4 8 2" xfId="1136" xr:uid="{47D40CD6-29D4-4C04-842C-BA83479FE170}"/>
    <cellStyle name="Accent4 9" xfId="1137" xr:uid="{9013A158-98E0-4362-BFC4-5D21A7AA2549}"/>
    <cellStyle name="Accent4 9 2" xfId="1138" xr:uid="{ED542492-6789-47BD-AA69-D7D948DA1D6E}"/>
    <cellStyle name="Accent5 10" xfId="1139" xr:uid="{70E04D53-FEC4-4592-B172-1A435A41BEB9}"/>
    <cellStyle name="Accent5 10 2" xfId="1140" xr:uid="{26B9279E-CE98-4035-82D3-D87B0310922E}"/>
    <cellStyle name="Accent5 11" xfId="1141" xr:uid="{06D12F9F-E382-458E-88D9-223B577C6063}"/>
    <cellStyle name="Accent5 11 2" xfId="1142" xr:uid="{45246F6A-6C48-4168-A177-49E9194E5B2E}"/>
    <cellStyle name="Accent5 12" xfId="1143" xr:uid="{0350A5A6-06AE-4821-B7D5-F2A35D216680}"/>
    <cellStyle name="Accent5 12 2" xfId="1144" xr:uid="{63A8790B-4CD7-451C-A36E-1C33EB006C82}"/>
    <cellStyle name="Accent5 13" xfId="1145" xr:uid="{9D82763C-1895-427A-97FB-9F11FADD9283}"/>
    <cellStyle name="Accent5 13 2" xfId="1146" xr:uid="{541158D1-6141-4569-A3C6-B86165AC788B}"/>
    <cellStyle name="Accent5 14" xfId="1147" xr:uid="{D850AA07-1057-49AC-92B7-CEA44B5CD2F1}"/>
    <cellStyle name="Accent5 2" xfId="1148" xr:uid="{5B4DF6D8-63A1-4681-83DD-A700C479B2CE}"/>
    <cellStyle name="Accent5 2 2" xfId="1149" xr:uid="{C9F0DA21-4FE1-4862-BA24-D332BDED9718}"/>
    <cellStyle name="Accent5 2_2012" xfId="1150" xr:uid="{AA2D01AC-0FDC-433A-8DF0-FE9EAAC4808B}"/>
    <cellStyle name="Accent5 3" xfId="1151" xr:uid="{B975313D-DB33-4380-AA77-7B5323F1EAA0}"/>
    <cellStyle name="Accent5 3 2" xfId="1152" xr:uid="{E7B73D34-0251-420B-A982-A071F6DC1517}"/>
    <cellStyle name="Accent5 4" xfId="1153" xr:uid="{0309A691-80CA-4F2B-9B95-811B431F7589}"/>
    <cellStyle name="Accent5 4 2" xfId="1154" xr:uid="{CF93C530-4C63-48C3-936D-662EFAC4CD1A}"/>
    <cellStyle name="Accent5 5" xfId="1155" xr:uid="{D55FC6E6-7966-4D33-85D5-C78839D97051}"/>
    <cellStyle name="Accent5 5 2" xfId="1156" xr:uid="{E39FDDCF-2443-462B-8659-20289299AA3A}"/>
    <cellStyle name="Accent5 6" xfId="1157" xr:uid="{45AA431A-C9B5-4B7E-A042-4DE9A20E5A44}"/>
    <cellStyle name="Accent5 6 2" xfId="1158" xr:uid="{37880A81-4EAE-4B24-9D20-7A753BAF7754}"/>
    <cellStyle name="Accent5 7" xfId="1159" xr:uid="{E297570A-C930-433A-B66D-5B6DB2129320}"/>
    <cellStyle name="Accent5 7 2" xfId="1160" xr:uid="{8A6D181D-BC3C-4EAE-B811-050E9B508351}"/>
    <cellStyle name="Accent5 8" xfId="1161" xr:uid="{18C5CDC8-009B-4659-B26C-5DAC9490061E}"/>
    <cellStyle name="Accent5 8 2" xfId="1162" xr:uid="{B5550D62-8E34-4520-94EF-238EC453DF75}"/>
    <cellStyle name="Accent5 9" xfId="1163" xr:uid="{4F63C296-38FE-423C-9EC9-F7900A012389}"/>
    <cellStyle name="Accent5 9 2" xfId="1164" xr:uid="{E8A0DDA0-F5A9-491A-BFEA-B84C9C066FD9}"/>
    <cellStyle name="Accent6 10" xfId="1165" xr:uid="{0EE78959-1DAE-48AB-A034-1DA0420B40E7}"/>
    <cellStyle name="Accent6 10 2" xfId="1166" xr:uid="{08C34ED9-5058-4A19-A3BA-1337EC5FA65A}"/>
    <cellStyle name="Accent6 10 3" xfId="1167" xr:uid="{BA212250-116B-4E5E-9F9B-7687B899C235}"/>
    <cellStyle name="Accent6 11" xfId="1168" xr:uid="{D9C51170-90EE-4181-916C-9EC0D5F88CD4}"/>
    <cellStyle name="Accent6 11 2" xfId="1169" xr:uid="{73100790-F2D8-47A5-A731-0E520D57028F}"/>
    <cellStyle name="Accent6 11 3" xfId="1170" xr:uid="{E2548222-A8EF-4BD7-8CEE-F0846D26212D}"/>
    <cellStyle name="Accent6 12" xfId="1171" xr:uid="{8FD29962-38A4-43A4-9452-F8C1FD7F59E4}"/>
    <cellStyle name="Accent6 12 2" xfId="1172" xr:uid="{A94C8C3D-ADD5-40EB-9123-2A8C619C36FB}"/>
    <cellStyle name="Accent6 12 3" xfId="1173" xr:uid="{30114DDB-615F-445E-A665-9115D67E55A6}"/>
    <cellStyle name="Accent6 13" xfId="1174" xr:uid="{600BEA02-21D5-4125-924F-918E16E4E54A}"/>
    <cellStyle name="Accent6 13 2" xfId="1175" xr:uid="{B004480B-F790-44A7-A6A0-74CAA94422AE}"/>
    <cellStyle name="Accent6 13 3" xfId="1176" xr:uid="{87DA54DF-B2BC-4F58-A86B-4ED256CA91C0}"/>
    <cellStyle name="Accent6 14" xfId="1177" xr:uid="{6FFC48CB-B3A4-4392-8704-405BED093E13}"/>
    <cellStyle name="Accent6 2" xfId="1178" xr:uid="{4281560E-A44E-438E-9453-36954613455D}"/>
    <cellStyle name="Accent6 2 2" xfId="1179" xr:uid="{FFFEFA4E-93D5-4A59-9568-94F2A9546852}"/>
    <cellStyle name="Accent6 2 2 2" xfId="1180" xr:uid="{B484075C-4C52-47FB-9078-2D3B49CFF810}"/>
    <cellStyle name="Accent6 2 3" xfId="1181" xr:uid="{EC2706A2-4135-4494-9BD0-41B5347E19A6}"/>
    <cellStyle name="Accent6 2_2012" xfId="1182" xr:uid="{062E58D3-E076-4D8B-9216-3556589554FD}"/>
    <cellStyle name="Accent6 3" xfId="1183" xr:uid="{8D7A8A74-A8F0-4B12-8C6E-0AA7282ED45E}"/>
    <cellStyle name="Accent6 3 2" xfId="1184" xr:uid="{2E92C283-A679-4CA2-B743-79998EA55685}"/>
    <cellStyle name="Accent6 3 3" xfId="1185" xr:uid="{B04B4A80-7E8B-4BB9-B894-FF7B46AC18FD}"/>
    <cellStyle name="Accent6 4" xfId="1186" xr:uid="{5F7B3F26-5F48-412C-AB01-036A9DCD2691}"/>
    <cellStyle name="Accent6 4 2" xfId="1187" xr:uid="{B87E8885-6F62-4646-8948-3CB2CE239841}"/>
    <cellStyle name="Accent6 4 3" xfId="1188" xr:uid="{52F3A67B-A3B8-4813-A50A-85954F8BA2AF}"/>
    <cellStyle name="Accent6 5" xfId="1189" xr:uid="{B2C129EC-3D21-4E5E-B7B1-D4F65BFD4684}"/>
    <cellStyle name="Accent6 5 2" xfId="1190" xr:uid="{31D0D4A1-BDC5-4547-9CC4-51BC16CE298B}"/>
    <cellStyle name="Accent6 5 3" xfId="1191" xr:uid="{C6B60AE4-3F6E-4738-B208-32155021850F}"/>
    <cellStyle name="Accent6 6" xfId="1192" xr:uid="{ECFD8CB1-A58E-4693-BF69-955DC3647680}"/>
    <cellStyle name="Accent6 6 2" xfId="1193" xr:uid="{2551A838-6362-4702-A3D2-038A16D99109}"/>
    <cellStyle name="Accent6 6 3" xfId="1194" xr:uid="{260C4BD7-0F53-46A7-9E0C-A7A23B404026}"/>
    <cellStyle name="Accent6 7" xfId="1195" xr:uid="{2338E525-72CD-4E36-8192-65F4893EF1F7}"/>
    <cellStyle name="Accent6 7 2" xfId="1196" xr:uid="{43D05102-D284-4DF7-AA09-02EEDF2C886B}"/>
    <cellStyle name="Accent6 7 3" xfId="1197" xr:uid="{57657F44-1C1C-4EA4-A073-6A54B37E59C4}"/>
    <cellStyle name="Accent6 8" xfId="1198" xr:uid="{B5335467-01D4-4680-A2B9-DF7972A4BD97}"/>
    <cellStyle name="Accent6 8 2" xfId="1199" xr:uid="{4CC94186-4372-4C6D-AF24-84D7A8BABF58}"/>
    <cellStyle name="Accent6 8 3" xfId="1200" xr:uid="{105A06DB-8358-4805-A760-A7FA5D09A3FD}"/>
    <cellStyle name="Accent6 9" xfId="1201" xr:uid="{6F1D8F01-264E-479D-AE1F-E7FB57164F1D}"/>
    <cellStyle name="Accent6 9 2" xfId="1202" xr:uid="{E7774CF6-16CA-4E75-8508-546EAEF4476C}"/>
    <cellStyle name="Accent6 9 3" xfId="1203" xr:uid="{3769286A-25EA-4D60-8AEA-0C965D4D90A6}"/>
    <cellStyle name="Accounting" xfId="1204" xr:uid="{D2A2CFD1-6C58-4CBA-A459-1AAB6AC36061}"/>
    <cellStyle name="Accounting 2" xfId="1205" xr:uid="{10F2F8CF-E680-4767-9061-E76A050D9C6D}"/>
    <cellStyle name="Accounting 2 2" xfId="1206" xr:uid="{9C3F0EFA-4699-45E7-B36C-39421B9F3147}"/>
    <cellStyle name="Accounting 3" xfId="1207" xr:uid="{782EA86E-8CFD-4C4C-8232-76FFCEDA5709}"/>
    <cellStyle name="Accounting_Action plan - Tank" xfId="1208" xr:uid="{55A54528-DDA6-41BE-9CB8-088C2D51AB7D}"/>
    <cellStyle name="args.style" xfId="1209" xr:uid="{1F282385-6BF4-45D2-9006-E7F60785A294}"/>
    <cellStyle name="args.style 2" xfId="1210" xr:uid="{655CAEBE-7E5F-43E5-AC0A-8CE0878FD960}"/>
    <cellStyle name="AutoFormat-Optionen" xfId="1211" xr:uid="{C25512FB-43D1-472A-94CB-64EB9835F0A1}"/>
    <cellStyle name="AutoFormat-Optionen 2" xfId="1212" xr:uid="{8F386F1D-9764-4EA2-BE5B-7824A357639B}"/>
    <cellStyle name="AutoFormat-Optionen 2 2" xfId="1213" xr:uid="{A2BB4897-985F-4D55-8AA8-FCFB797D41FA}"/>
    <cellStyle name="AutoFormat-Optionen 3" xfId="1214" xr:uid="{3BFBFAC4-BF87-4D6C-9A3C-F567F7E58E8F}"/>
    <cellStyle name="AutoFormat-Optionen 4" xfId="1215" xr:uid="{83821E97-1EB4-4B59-93C9-423B8C1428A5}"/>
    <cellStyle name="AutoFormat-Optionen_16-17" xfId="1216" xr:uid="{F780FFF7-6505-479D-9E4F-D5129150A2E2}"/>
    <cellStyle name="Bad 10" xfId="1217" xr:uid="{7C4766C1-0DF4-4E49-A47F-B23052F78067}"/>
    <cellStyle name="Bad 10 2" xfId="1218" xr:uid="{07104101-314A-4720-AAD0-D297D6126942}"/>
    <cellStyle name="Bad 10 3" xfId="1219" xr:uid="{27A4D77C-1DEC-4778-A311-511EDC941DB6}"/>
    <cellStyle name="Bad 11" xfId="1220" xr:uid="{D5296566-E485-45D2-A3EA-DB2953DFDCEE}"/>
    <cellStyle name="Bad 11 2" xfId="1221" xr:uid="{5101CAFD-4972-4B67-85D9-42890ED29077}"/>
    <cellStyle name="Bad 11 3" xfId="1222" xr:uid="{A76046F4-8F88-4EB5-8866-BBE73A7DD3EF}"/>
    <cellStyle name="Bad 12" xfId="1223" xr:uid="{52B2E1C5-B837-43A7-A79A-C0EB98CA2AB9}"/>
    <cellStyle name="Bad 12 2" xfId="1224" xr:uid="{5F530ABC-4A53-4FA5-898F-B9945556D391}"/>
    <cellStyle name="Bad 12 3" xfId="1225" xr:uid="{8B12547C-C2B8-41FD-8EE2-DECC1745DB98}"/>
    <cellStyle name="Bad 13" xfId="1226" xr:uid="{29B926EA-8EB6-4388-B8F2-6C9164FF5975}"/>
    <cellStyle name="Bad 13 2" xfId="1227" xr:uid="{F07D8CF1-595E-4528-860E-77E512DB49FF}"/>
    <cellStyle name="Bad 13 3" xfId="1228" xr:uid="{7358BFDA-4B7A-4924-9A95-A777038977CF}"/>
    <cellStyle name="Bad 14" xfId="1229" xr:uid="{0C0FFCCE-00E7-4006-B1FB-7336D18DC8F3}"/>
    <cellStyle name="Bad 2" xfId="1230" xr:uid="{7DFF6541-E9BE-4872-8476-FEE9991986DF}"/>
    <cellStyle name="Bad 2 2" xfId="1231" xr:uid="{B0701ECA-E10C-4227-B0DD-847B5EA7E952}"/>
    <cellStyle name="Bad 2 2 2" xfId="1232" xr:uid="{C45541EF-DB77-46EB-9E23-88B9C9281DC4}"/>
    <cellStyle name="Bad 2 3" xfId="1233" xr:uid="{B7D7E25F-1EB6-45EC-B3C1-120F7BA6675E}"/>
    <cellStyle name="Bad 2_2012" xfId="1234" xr:uid="{DB13A8C4-4619-4BA5-BF05-581D9B3C0746}"/>
    <cellStyle name="Bad 3" xfId="1235" xr:uid="{A8513623-3652-4CA9-BB7E-049D8618A368}"/>
    <cellStyle name="Bad 3 2" xfId="1236" xr:uid="{EC1B2392-4D56-4E24-9A7F-49C245E0952C}"/>
    <cellStyle name="Bad 3 3" xfId="1237" xr:uid="{39BD20A1-884E-40BC-91BB-AD4C4E271746}"/>
    <cellStyle name="Bad 4" xfId="1238" xr:uid="{4D1307D3-C34D-4EAA-8F84-59F5D1EF6B16}"/>
    <cellStyle name="Bad 4 2" xfId="1239" xr:uid="{71B77822-F434-43A8-A5D7-8832C33F7776}"/>
    <cellStyle name="Bad 4 3" xfId="1240" xr:uid="{EB1CA69E-0B6B-4C00-ABB9-EBFA8E9F1147}"/>
    <cellStyle name="Bad 5" xfId="1241" xr:uid="{2AF3A87C-13B3-4066-8718-B9A5BE58147F}"/>
    <cellStyle name="Bad 5 2" xfId="1242" xr:uid="{F9BB93A7-5D47-41D7-91ED-FEC3C45080E8}"/>
    <cellStyle name="Bad 5 3" xfId="1243" xr:uid="{53B246AA-BFBB-4CD4-825F-3436EB0D375A}"/>
    <cellStyle name="Bad 6" xfId="1244" xr:uid="{9C8B742D-C46C-4E6E-9FFC-64F35930A485}"/>
    <cellStyle name="Bad 6 2" xfId="1245" xr:uid="{59A50DBF-B1E4-4BBE-891B-2931801EEEDB}"/>
    <cellStyle name="Bad 6 3" xfId="1246" xr:uid="{60884711-8B7E-4CF8-8765-EE619E367897}"/>
    <cellStyle name="Bad 7" xfId="1247" xr:uid="{F8E3DD3F-E2A7-4B15-B218-9F66F4398A8B}"/>
    <cellStyle name="Bad 7 2" xfId="1248" xr:uid="{712B9A89-7F6B-4E97-ADAE-27017EDA5801}"/>
    <cellStyle name="Bad 7 3" xfId="1249" xr:uid="{F2AAD6C8-4539-49D6-9912-6CAC3CBA969F}"/>
    <cellStyle name="Bad 8" xfId="1250" xr:uid="{98E11B69-7A25-4D00-8B14-989A4A25A689}"/>
    <cellStyle name="Bad 8 2" xfId="1251" xr:uid="{061EAA9C-BA40-41AE-9801-880F0FBC48D4}"/>
    <cellStyle name="Bad 8 3" xfId="1252" xr:uid="{A346654B-6AA0-49D9-9532-4D897046EA82}"/>
    <cellStyle name="Bad 9" xfId="1253" xr:uid="{4C3912DD-6479-4339-AAD2-39E38219AAC3}"/>
    <cellStyle name="Bad 9 2" xfId="1254" xr:uid="{39C8ABC0-FCE0-440E-9A73-9C29DEB6759B}"/>
    <cellStyle name="Bad 9 3" xfId="1255" xr:uid="{A4B4E041-26F5-4A7E-A21B-4B41840352F0}"/>
    <cellStyle name="blue" xfId="1256" xr:uid="{B531F0AA-260B-4DFE-BF4E-72F1E5795FF3}"/>
    <cellStyle name="blue 2" xfId="1257" xr:uid="{002014F6-2687-4777-9F28-39CB0716838A}"/>
    <cellStyle name="blue_Book1" xfId="1258" xr:uid="{248FA1F7-EAD8-4E89-ABEF-8FB71063DB3B}"/>
    <cellStyle name="Body" xfId="1259" xr:uid="{57903526-0BBA-431A-9EA6-76E32DE40797}"/>
    <cellStyle name="Body 2" xfId="1260" xr:uid="{DA681201-840A-47A4-A475-58E4AD5A3484}"/>
    <cellStyle name="Calc Currency (0)" xfId="1261" xr:uid="{EF2615D6-484C-405F-8926-EDD2F45B1A61}"/>
    <cellStyle name="Calc Currency (0) 2" xfId="1262" xr:uid="{5A123322-FF6B-466A-9971-FF781A7D3945}"/>
    <cellStyle name="Calc Currency (2)" xfId="1263" xr:uid="{EC32DCCC-0BBB-4F29-A541-E8673C494724}"/>
    <cellStyle name="Calc Percent (0)" xfId="1264" xr:uid="{303436DD-BEC7-4DF5-AD4F-0284E56746AD}"/>
    <cellStyle name="Calc Percent (1)" xfId="1265" xr:uid="{B983A81A-2220-4C4A-B6B2-C061E680A1C9}"/>
    <cellStyle name="Calc Percent (2)" xfId="1266" xr:uid="{D3DC877D-0ED5-4E62-8B1D-2B898223D206}"/>
    <cellStyle name="Calc Percent (2) 2" xfId="1267" xr:uid="{47A23E96-1519-4B1B-89E1-6164184FD424}"/>
    <cellStyle name="Calc Units (0)" xfId="1268" xr:uid="{3B58CEF0-AF80-4FDC-9A04-8487557A78F8}"/>
    <cellStyle name="Calc Units (1)" xfId="1269" xr:uid="{E8BF1B89-CFE2-4542-8AE7-88D2DB3F9DE2}"/>
    <cellStyle name="Calc Units (2)" xfId="1270" xr:uid="{8A6115F0-8EFA-49DF-AEB9-182968573B26}"/>
    <cellStyle name="Calc Units (2) 2" xfId="1271" xr:uid="{543F29BE-EC76-44A1-98F0-6C85AF18564C}"/>
    <cellStyle name="Calculation 10" xfId="1272" xr:uid="{9D338612-FF95-4B6A-B133-A76425F4446A}"/>
    <cellStyle name="Calculation 10 2" xfId="1273" xr:uid="{CCCB48CF-9CF4-43F9-9BC1-75C3B362D943}"/>
    <cellStyle name="Calculation 10 2 2" xfId="1274" xr:uid="{A4D5F088-680C-43DC-A1A3-27618A202AB5}"/>
    <cellStyle name="Calculation 10 2 3" xfId="1275" xr:uid="{E628891F-BE1A-4375-8087-57256C9FC04E}"/>
    <cellStyle name="Calculation 10 2 4" xfId="1276" xr:uid="{FDB2B674-DB40-41C0-95ED-9784E7568F93}"/>
    <cellStyle name="Calculation 10 2 5" xfId="1277" xr:uid="{53DC0F2C-DC95-4491-BD30-F0DF3D85CC4E}"/>
    <cellStyle name="Calculation 10 3" xfId="1278" xr:uid="{5941291A-C957-40A7-9B44-2F5294F2693B}"/>
    <cellStyle name="Calculation 10 4" xfId="1279" xr:uid="{85313C17-5676-4BB7-AA3B-A5BA431C4B18}"/>
    <cellStyle name="Calculation 10 5" xfId="1280" xr:uid="{F5944A14-7E88-4D1C-820C-78CDDF03500C}"/>
    <cellStyle name="Calculation 10 6" xfId="1281" xr:uid="{12687963-A1BB-43DC-8D83-FC6B0CDB8320}"/>
    <cellStyle name="Calculation 11" xfId="1282" xr:uid="{A9DBB055-BC6B-434F-8DC0-F39AE4B5208D}"/>
    <cellStyle name="Calculation 11 2" xfId="1283" xr:uid="{3F1246CD-BF15-41BC-AE81-46E37A3DA009}"/>
    <cellStyle name="Calculation 11 2 2" xfId="1284" xr:uid="{8C03A642-10F6-4469-9E86-8E602E1DAD19}"/>
    <cellStyle name="Calculation 11 2 3" xfId="1285" xr:uid="{E241047B-C5A5-4268-82C9-B8DCBF06420F}"/>
    <cellStyle name="Calculation 11 2 4" xfId="1286" xr:uid="{4D96441C-C07A-450E-9541-F7D1C3ECFF19}"/>
    <cellStyle name="Calculation 11 2 5" xfId="1287" xr:uid="{CCFFB504-EA45-46DF-8E3E-900072B4A057}"/>
    <cellStyle name="Calculation 11 3" xfId="1288" xr:uid="{0D8AD58E-5D9F-485B-99FC-E7A78AA1577B}"/>
    <cellStyle name="Calculation 11 4" xfId="1289" xr:uid="{F0DEF893-8C57-46C7-B595-CE7350C977C3}"/>
    <cellStyle name="Calculation 11 5" xfId="1290" xr:uid="{B499CC2D-CF21-4C6C-8381-597F73BE595C}"/>
    <cellStyle name="Calculation 11 6" xfId="1291" xr:uid="{647E99A4-A2E4-4204-ACF0-AF7A25724FE6}"/>
    <cellStyle name="Calculation 12" xfId="1292" xr:uid="{B9EB5E0C-91CA-4227-B9A4-5622E9C826A3}"/>
    <cellStyle name="Calculation 12 2" xfId="1293" xr:uid="{37BC68DB-1E26-4D65-827C-719E826D67F3}"/>
    <cellStyle name="Calculation 12 2 2" xfId="1294" xr:uid="{B772958E-131A-455D-9DBF-4A63A570F714}"/>
    <cellStyle name="Calculation 12 2 3" xfId="1295" xr:uid="{EE3295C4-561D-4CC4-9634-8D062E2289A1}"/>
    <cellStyle name="Calculation 12 2 4" xfId="1296" xr:uid="{1245D4CE-B45B-479A-AFA9-97E69379C22A}"/>
    <cellStyle name="Calculation 12 2 5" xfId="1297" xr:uid="{8A208ED9-7CBC-4FC6-AC6F-934F4EC9331B}"/>
    <cellStyle name="Calculation 12 3" xfId="1298" xr:uid="{20F66D91-AD2A-4AF0-89BE-4A065181CD1E}"/>
    <cellStyle name="Calculation 12 4" xfId="1299" xr:uid="{74979549-7A62-4336-8C7B-4B68BF4E4C69}"/>
    <cellStyle name="Calculation 12 5" xfId="1300" xr:uid="{CF5B3E9B-6CE6-4375-85A0-74E913164E4B}"/>
    <cellStyle name="Calculation 12 6" xfId="1301" xr:uid="{116F958B-30C4-4AE5-8721-5BF582AAAFEC}"/>
    <cellStyle name="Calculation 13" xfId="1302" xr:uid="{A1FB2EA8-48E1-4137-B81B-A52CCA919BEA}"/>
    <cellStyle name="Calculation 13 2" xfId="1303" xr:uid="{92E1E761-8FAD-46D9-834F-0D5F0AACFDAD}"/>
    <cellStyle name="Calculation 13 2 2" xfId="1304" xr:uid="{2124526F-D3E7-4CE3-A5D5-273D13140408}"/>
    <cellStyle name="Calculation 13 2 3" xfId="1305" xr:uid="{B36793B2-B805-422B-A79A-07EA8665A350}"/>
    <cellStyle name="Calculation 13 2 4" xfId="1306" xr:uid="{3A512EC8-D759-4516-B541-6FFB849A2E6A}"/>
    <cellStyle name="Calculation 13 2 5" xfId="1307" xr:uid="{38B8538E-E30A-4A43-BE01-C20993F57C05}"/>
    <cellStyle name="Calculation 13 3" xfId="1308" xr:uid="{BB475CD9-BC54-4657-8A3C-F04EA1386466}"/>
    <cellStyle name="Calculation 13 4" xfId="1309" xr:uid="{E2315A5D-4BAD-4A7E-A128-B482403E938F}"/>
    <cellStyle name="Calculation 13 5" xfId="1310" xr:uid="{853239B0-2CA5-4E7F-8FEC-8B62B337FD58}"/>
    <cellStyle name="Calculation 13 6" xfId="1311" xr:uid="{2E368FA6-9AA8-49D2-8909-1CEDDD888771}"/>
    <cellStyle name="Calculation 14" xfId="1312" xr:uid="{6338B276-337E-45A5-85BE-BB0357986036}"/>
    <cellStyle name="Calculation 14 2" xfId="1313" xr:uid="{C8980B8F-E967-436E-91D4-3D197AEFB506}"/>
    <cellStyle name="Calculation 14 3" xfId="1314" xr:uid="{C9125825-0C05-4534-BEBA-FE3237374D9C}"/>
    <cellStyle name="Calculation 14 4" xfId="1315" xr:uid="{FFFA3659-35B2-40AA-A449-FAE81F8C41C7}"/>
    <cellStyle name="Calculation 14 5" xfId="1316" xr:uid="{37544294-8C2A-478D-AA31-89D87AB20E43}"/>
    <cellStyle name="Calculation 15" xfId="3805" xr:uid="{3C109B71-CA43-4E9F-8D19-443599A8670F}"/>
    <cellStyle name="Calculation 2" xfId="1317" xr:uid="{4FC4C41F-5F7B-4845-AB19-0C4CBD78D84A}"/>
    <cellStyle name="Calculation 2 2" xfId="1318" xr:uid="{89E79E1F-ADD5-4929-8C03-D28B7580FF72}"/>
    <cellStyle name="Calculation 2 2 2" xfId="1319" xr:uid="{8BB1020D-96FC-46BE-9838-380B76C0C1A8}"/>
    <cellStyle name="Calculation 2 2 3" xfId="1320" xr:uid="{BF50CBE4-143D-402E-B90E-9939C5DE0361}"/>
    <cellStyle name="Calculation 2 2 4" xfId="1321" xr:uid="{BDD8501D-4B06-4C85-98A9-0F3CDE7B949A}"/>
    <cellStyle name="Calculation 2 2 5" xfId="1322" xr:uid="{97202BA1-FCC5-4D7F-A4AB-B834A4C09B1E}"/>
    <cellStyle name="Calculation 2 3" xfId="1323" xr:uid="{DFB31514-EE40-43AB-B812-BDDF3B0E18EA}"/>
    <cellStyle name="Calculation 2 4" xfId="1324" xr:uid="{BAA84011-9102-466F-9BAE-6CBB03382F7E}"/>
    <cellStyle name="Calculation 2 5" xfId="1325" xr:uid="{5C648C0E-F071-45C5-B86D-19DAC837C274}"/>
    <cellStyle name="Calculation 2 6" xfId="1326" xr:uid="{0A4FA645-E1DC-41DC-B3C4-B86B0FC6B18E}"/>
    <cellStyle name="Calculation 2_2.Control Points-Prabu-2012-13" xfId="1327" xr:uid="{BBDF6020-B1A6-401D-85C7-6216CD58E670}"/>
    <cellStyle name="Calculation 3" xfId="1328" xr:uid="{11F69B50-B821-4ABB-8755-170EAA9BBCDF}"/>
    <cellStyle name="Calculation 3 2" xfId="1329" xr:uid="{440A41C9-1C6F-4456-A8A7-795C97C4C080}"/>
    <cellStyle name="Calculation 3 2 2" xfId="1330" xr:uid="{D6B32D1A-273E-4912-8620-1F1E4357CDBF}"/>
    <cellStyle name="Calculation 3 2 3" xfId="1331" xr:uid="{03750524-A039-4195-901A-84BADE23241E}"/>
    <cellStyle name="Calculation 3 2 4" xfId="1332" xr:uid="{FCDA96B3-96E4-4506-AE18-1AB6EA85B2AC}"/>
    <cellStyle name="Calculation 3 2 5" xfId="1333" xr:uid="{7A38BB2E-34B4-4DF2-BF80-9542C22DAE1B}"/>
    <cellStyle name="Calculation 3 3" xfId="1334" xr:uid="{6084A760-C19E-4A99-9642-C7671586EB2D}"/>
    <cellStyle name="Calculation 3 4" xfId="1335" xr:uid="{3320928A-3891-4484-8AEB-70BB84C4EB64}"/>
    <cellStyle name="Calculation 3 5" xfId="1336" xr:uid="{F1108D68-BC93-4E56-B103-A24A9D40742D}"/>
    <cellStyle name="Calculation 3 6" xfId="1337" xr:uid="{518F15A3-D02E-4E2C-B8AA-4B68A921AE56}"/>
    <cellStyle name="Calculation 4" xfId="1338" xr:uid="{2B2B3CAF-5C54-4D31-B932-1DA88BCFB29D}"/>
    <cellStyle name="Calculation 4 2" xfId="1339" xr:uid="{B3636930-14FC-4040-B0D2-2DF48A78D85D}"/>
    <cellStyle name="Calculation 4 2 2" xfId="1340" xr:uid="{879A42CF-A447-414C-97F5-BC14B4FDDB77}"/>
    <cellStyle name="Calculation 4 2 3" xfId="1341" xr:uid="{7661D98C-00A2-460C-95F5-3B9622289B9B}"/>
    <cellStyle name="Calculation 4 2 4" xfId="1342" xr:uid="{DDA98FA2-9204-4A97-A99D-62326405828D}"/>
    <cellStyle name="Calculation 4 2 5" xfId="1343" xr:uid="{324E79D1-DCF0-4B8F-A439-286A89BE8D90}"/>
    <cellStyle name="Calculation 4 3" xfId="1344" xr:uid="{1ED07F3C-DD23-4CF3-9701-1B969EF64E54}"/>
    <cellStyle name="Calculation 4 4" xfId="1345" xr:uid="{2F66B787-0606-405E-A16D-6DFC83AB3CE8}"/>
    <cellStyle name="Calculation 4 5" xfId="1346" xr:uid="{75BBD245-2100-4CE5-83EC-022F015536D1}"/>
    <cellStyle name="Calculation 4 6" xfId="1347" xr:uid="{12F4FA7B-E12D-476C-948F-4F6DC54A251D}"/>
    <cellStyle name="Calculation 5" xfId="1348" xr:uid="{69FFEF1C-69E2-4117-B6D3-B1E088725B36}"/>
    <cellStyle name="Calculation 5 2" xfId="1349" xr:uid="{C7B3FD3C-7CB3-4516-B07F-E5D7C2CD9D39}"/>
    <cellStyle name="Calculation 5 2 2" xfId="1350" xr:uid="{0256A2EB-FFF6-45D6-92D2-5355B1B868B3}"/>
    <cellStyle name="Calculation 5 2 3" xfId="1351" xr:uid="{60DE4AB8-8518-4D93-BB39-00730BEFEB5E}"/>
    <cellStyle name="Calculation 5 2 4" xfId="1352" xr:uid="{6A3B9882-20FD-4EDE-967F-34BBDB6E4675}"/>
    <cellStyle name="Calculation 5 2 5" xfId="1353" xr:uid="{C3AADBC4-4667-4A5A-8FBE-5173BE1530A7}"/>
    <cellStyle name="Calculation 5 3" xfId="1354" xr:uid="{FD820C88-B9DE-4774-946E-C86E6F0538C2}"/>
    <cellStyle name="Calculation 5 4" xfId="1355" xr:uid="{FC4DC785-B019-4528-AEBF-8C6A826C8F39}"/>
    <cellStyle name="Calculation 5 5" xfId="1356" xr:uid="{F3BB1AE7-E7F4-4C33-9EBA-7D5C15802667}"/>
    <cellStyle name="Calculation 5 6" xfId="1357" xr:uid="{08163171-5308-4B9E-9D2A-0D57EB0DEEAD}"/>
    <cellStyle name="Calculation 6" xfId="1358" xr:uid="{2EBC4E43-B0CA-4C23-B5EC-FBD3204EF849}"/>
    <cellStyle name="Calculation 6 2" xfId="1359" xr:uid="{7C8A1CF2-22C0-4D48-B79B-00ED8B87EE1D}"/>
    <cellStyle name="Calculation 6 2 2" xfId="1360" xr:uid="{6DA35DBA-C8EB-4D95-A80D-C24FDEA12323}"/>
    <cellStyle name="Calculation 6 2 3" xfId="1361" xr:uid="{BF2E4910-51DA-481F-955A-BFB7435B8AF2}"/>
    <cellStyle name="Calculation 6 2 4" xfId="1362" xr:uid="{422CD6B3-A6BE-4ED1-AAAB-265C1C545205}"/>
    <cellStyle name="Calculation 6 2 5" xfId="1363" xr:uid="{43445281-35E3-4730-AA82-7ACFDD06C698}"/>
    <cellStyle name="Calculation 6 3" xfId="1364" xr:uid="{94DAA014-C798-4BE0-A20F-C37A292D71C5}"/>
    <cellStyle name="Calculation 6 4" xfId="1365" xr:uid="{43F12C53-C85D-4770-83E9-2EEA1D3BBE12}"/>
    <cellStyle name="Calculation 6 5" xfId="1366" xr:uid="{D99DE32B-C10C-49E5-89E1-02B9EF20F4EE}"/>
    <cellStyle name="Calculation 6 6" xfId="1367" xr:uid="{C43CCF1C-3624-4286-8819-3B63F2DA4BDF}"/>
    <cellStyle name="Calculation 7" xfId="1368" xr:uid="{9A0A6F30-98B5-4B64-A1B4-5380F3A11C87}"/>
    <cellStyle name="Calculation 7 2" xfId="1369" xr:uid="{278AA53A-8162-44D2-A530-586B3AA4A7C6}"/>
    <cellStyle name="Calculation 7 2 2" xfId="1370" xr:uid="{584FEBA8-D318-46EE-8B68-80A55405B18C}"/>
    <cellStyle name="Calculation 7 2 3" xfId="1371" xr:uid="{17188145-71DE-4485-AF16-D74311582137}"/>
    <cellStyle name="Calculation 7 2 4" xfId="1372" xr:uid="{71445131-2015-495A-ACC5-B6DDFDC83F8C}"/>
    <cellStyle name="Calculation 7 2 5" xfId="1373" xr:uid="{B7D78F74-ABB6-4AE8-A78C-3AA3CCC54683}"/>
    <cellStyle name="Calculation 7 3" xfId="1374" xr:uid="{F02613AB-409D-4DB1-B47C-529FEBC1E1F3}"/>
    <cellStyle name="Calculation 7 4" xfId="1375" xr:uid="{D68BD013-F6EB-493F-9719-EF12426AE2A9}"/>
    <cellStyle name="Calculation 7 5" xfId="1376" xr:uid="{52BE83BF-117D-4616-9A02-94644863B97D}"/>
    <cellStyle name="Calculation 7 6" xfId="1377" xr:uid="{E0EB0FF3-26ED-44C5-A610-2E8E3753A309}"/>
    <cellStyle name="Calculation 8" xfId="1378" xr:uid="{1DB57937-88AD-4FA5-AB37-7131798AFC60}"/>
    <cellStyle name="Calculation 8 2" xfId="1379" xr:uid="{13020095-7E83-4CE2-B43A-D6C86B844A2F}"/>
    <cellStyle name="Calculation 8 2 2" xfId="1380" xr:uid="{D4500B24-C76B-489B-87C6-205BB4E46570}"/>
    <cellStyle name="Calculation 8 2 3" xfId="1381" xr:uid="{45753192-43E2-4F67-BB8C-8017454FF59F}"/>
    <cellStyle name="Calculation 8 2 4" xfId="1382" xr:uid="{E94F97D9-C7D3-4E62-A2C2-535A8A96F041}"/>
    <cellStyle name="Calculation 8 2 5" xfId="1383" xr:uid="{8CEB3F1E-99C1-4C67-9663-37C5CD758723}"/>
    <cellStyle name="Calculation 8 3" xfId="1384" xr:uid="{A752F190-42F1-4918-A6E5-5AF4429E660E}"/>
    <cellStyle name="Calculation 8 4" xfId="1385" xr:uid="{C38C3438-6CED-42B2-B2B4-68F5BA559E90}"/>
    <cellStyle name="Calculation 8 5" xfId="1386" xr:uid="{052EAC9A-2842-499F-A948-69D6B86FCEA8}"/>
    <cellStyle name="Calculation 8 6" xfId="1387" xr:uid="{A1D8F5BE-C74C-4931-B6B3-E45B1656ECC0}"/>
    <cellStyle name="Calculation 9" xfId="1388" xr:uid="{9D0A3306-639B-4ABD-B92A-A65863FCE642}"/>
    <cellStyle name="Calculation 9 2" xfId="1389" xr:uid="{A0BAF98D-F513-4261-8849-E3E58D074ADC}"/>
    <cellStyle name="Calculation 9 2 2" xfId="1390" xr:uid="{AB79B45E-A8B5-4965-86C3-58D2B8659368}"/>
    <cellStyle name="Calculation 9 2 3" xfId="1391" xr:uid="{86717EF6-52F2-4372-8A7F-A2F78F1A9CAC}"/>
    <cellStyle name="Calculation 9 2 4" xfId="1392" xr:uid="{4048EB2E-1B17-423F-A319-A9EA86CA7A4B}"/>
    <cellStyle name="Calculation 9 2 5" xfId="1393" xr:uid="{9DE691B3-5B7A-45CE-B568-E9FA1458741D}"/>
    <cellStyle name="Calculation 9 3" xfId="1394" xr:uid="{51ED317F-291F-4195-90A1-DC8396AAEB4F}"/>
    <cellStyle name="Calculation 9 4" xfId="1395" xr:uid="{92B9B011-6E79-4C36-BFD3-FD2B9E477313}"/>
    <cellStyle name="Calculation 9 5" xfId="1396" xr:uid="{5A3171E7-CE39-4C60-8A61-51469CBC8493}"/>
    <cellStyle name="Calculation 9 6" xfId="1397" xr:uid="{D282782C-1F76-4CF9-8CB1-17BFFD81C097}"/>
    <cellStyle name="category" xfId="1398" xr:uid="{09CED045-6FDA-437D-BF5F-4127A4C06C93}"/>
    <cellStyle name="category 2" xfId="1399" xr:uid="{4B5AE89A-1954-40E4-9900-CC79817C777A}"/>
    <cellStyle name="category 2 2" xfId="1400" xr:uid="{32453695-3F8F-4054-A52B-26396AD30CAA}"/>
    <cellStyle name="category 3" xfId="1401" xr:uid="{EFD4F6D4-2BDE-4046-8A4D-82B12E63EA0D}"/>
    <cellStyle name="category_Action plan - Tank" xfId="1402" xr:uid="{7F4241CE-CD17-4E08-A33B-2397ACAE16FB}"/>
    <cellStyle name="Chart Title" xfId="1403" xr:uid="{8D8A2306-DE75-4BB6-8CF9-C39FBD3FD6F0}"/>
    <cellStyle name="Check Cell 10" xfId="1404" xr:uid="{9A6B082A-F664-42CE-8E58-64F1B3D0DE91}"/>
    <cellStyle name="Check Cell 10 2" xfId="1405" xr:uid="{F449EEF7-7038-440E-8D16-DD25525D522A}"/>
    <cellStyle name="Check Cell 10 3" xfId="1406" xr:uid="{62ADA901-21F4-4DB0-B1D0-A7354F9DE301}"/>
    <cellStyle name="Check Cell 11" xfId="1407" xr:uid="{5CC77D8E-AF21-47EF-86E9-E859508A0C92}"/>
    <cellStyle name="Check Cell 11 2" xfId="1408" xr:uid="{C2B05FB4-A2BE-4864-98CB-78A3AA9F3E5C}"/>
    <cellStyle name="Check Cell 11 3" xfId="1409" xr:uid="{72A64B61-F9A4-4E4B-8F70-698EB3AA862A}"/>
    <cellStyle name="Check Cell 12" xfId="1410" xr:uid="{B4DA6413-370E-439D-A2A8-87732748B37E}"/>
    <cellStyle name="Check Cell 12 2" xfId="1411" xr:uid="{A70DCBF1-AED2-41A9-8FA9-2309DEC8E18C}"/>
    <cellStyle name="Check Cell 12 3" xfId="1412" xr:uid="{61BD1A30-DBD4-4AD5-9327-5BA81E3D3E3C}"/>
    <cellStyle name="Check Cell 13" xfId="1413" xr:uid="{9FFC8049-7A30-4C89-AA56-13271331756A}"/>
    <cellStyle name="Check Cell 13 2" xfId="1414" xr:uid="{117B2290-9F21-4C8D-B602-26101EA5AE69}"/>
    <cellStyle name="Check Cell 13 3" xfId="1415" xr:uid="{EE8DE418-0017-41FA-B3B0-ABEF5279C2DC}"/>
    <cellStyle name="Check Cell 14" xfId="1416" xr:uid="{96D86086-B416-44AC-B26D-4FA2E8945069}"/>
    <cellStyle name="Check Cell 2" xfId="1417" xr:uid="{538C63DF-B644-4362-BE34-D3B1616BE614}"/>
    <cellStyle name="Check Cell 2 2" xfId="1418" xr:uid="{73AF217A-0CE8-47C7-97F3-09CC89C30168}"/>
    <cellStyle name="Check Cell 2 2 2" xfId="1419" xr:uid="{7DD7F3E0-EF92-48A3-89B1-9F80E1CFA5E4}"/>
    <cellStyle name="Check Cell 2 3" xfId="1420" xr:uid="{656028E4-EFC6-4383-9552-2D78C38AB89A}"/>
    <cellStyle name="Check Cell 2_2.Control Points-Prabu-2012-13" xfId="1421" xr:uid="{FA54419C-4425-4B9B-AF0E-BB4F8B840599}"/>
    <cellStyle name="Check Cell 3" xfId="1422" xr:uid="{65B29B52-0125-408D-B9D7-7C7FEA9DED91}"/>
    <cellStyle name="Check Cell 3 2" xfId="1423" xr:uid="{9F0CF481-112F-41C3-AB09-56BBA4D7D772}"/>
    <cellStyle name="Check Cell 3 3" xfId="1424" xr:uid="{718AA916-6122-4BE6-92FD-693D503DF5A0}"/>
    <cellStyle name="Check Cell 4" xfId="1425" xr:uid="{E001EF76-588C-4825-8F2C-DEE468A51FE0}"/>
    <cellStyle name="Check Cell 4 2" xfId="1426" xr:uid="{709D3FF9-B439-4777-98D7-B59FCD93EC52}"/>
    <cellStyle name="Check Cell 4 3" xfId="1427" xr:uid="{13A91435-B410-4C44-A6A5-B9055007E479}"/>
    <cellStyle name="Check Cell 5" xfId="1428" xr:uid="{7F679181-16D5-466F-A15C-D08262CBAE85}"/>
    <cellStyle name="Check Cell 5 2" xfId="1429" xr:uid="{EAA8A708-794C-4106-8034-603177EB0CDC}"/>
    <cellStyle name="Check Cell 5 3" xfId="1430" xr:uid="{A11152A1-6A34-47F8-9BFB-067B58C3A4B7}"/>
    <cellStyle name="Check Cell 6" xfId="1431" xr:uid="{8E52C5B2-AD25-4F21-9B7A-4C23F82992BE}"/>
    <cellStyle name="Check Cell 6 2" xfId="1432" xr:uid="{74FAFBD7-B446-49A8-9504-863F0575A086}"/>
    <cellStyle name="Check Cell 6 3" xfId="1433" xr:uid="{806E7AA1-B758-45EC-AFE0-D1A32D559759}"/>
    <cellStyle name="Check Cell 7" xfId="1434" xr:uid="{7A95A156-91A3-40C5-B29D-9BEF9D3B36E3}"/>
    <cellStyle name="Check Cell 7 2" xfId="1435" xr:uid="{4FB32C00-DEB4-4B45-B00B-B8AF63026371}"/>
    <cellStyle name="Check Cell 7 3" xfId="1436" xr:uid="{C8410263-D0A1-4C6D-9359-2EF187EB996D}"/>
    <cellStyle name="Check Cell 8" xfId="1437" xr:uid="{D518F710-36FB-4306-86A4-5C8DE394A0B3}"/>
    <cellStyle name="Check Cell 8 2" xfId="1438" xr:uid="{9BEBAD93-80BD-494A-BB57-413372C9AE8D}"/>
    <cellStyle name="Check Cell 8 3" xfId="1439" xr:uid="{8C4D4AE7-D997-4EA8-B0C1-EC2E903B5CC0}"/>
    <cellStyle name="Check Cell 9" xfId="1440" xr:uid="{F1FA1A9D-E3F9-4EFB-9918-FE1EB8D6BB30}"/>
    <cellStyle name="Check Cell 9 2" xfId="1441" xr:uid="{183AB3BD-A922-48B2-9E03-BFA64EE6B72F}"/>
    <cellStyle name="Check Cell 9 3" xfId="1442" xr:uid="{B29B027A-2AC2-4E84-8C07-5AED597D25AC}"/>
    <cellStyle name="Comma  - Style1" xfId="1443" xr:uid="{1BC34B2E-7E48-404C-B116-28EF3DF6908F}"/>
    <cellStyle name="Comma  - Style1 2" xfId="1444" xr:uid="{74F16472-72D4-4AC1-B870-12C23B971521}"/>
    <cellStyle name="Comma  - Style1_Book1" xfId="1445" xr:uid="{77DFA603-1A96-40D0-9590-796055755C9F}"/>
    <cellStyle name="Comma  - Style2" xfId="1446" xr:uid="{F09F8A52-B782-4539-BE99-BF03F0009050}"/>
    <cellStyle name="Comma  - Style3" xfId="1447" xr:uid="{46DFB6B4-2415-48BA-A87E-6AF318E14277}"/>
    <cellStyle name="Comma  - Style4" xfId="1448" xr:uid="{C15014AF-764C-46D8-86CD-F35B578D1729}"/>
    <cellStyle name="Comma  - Style5" xfId="1449" xr:uid="{A95B2DC3-8557-4051-BC3C-B508B0C6318E}"/>
    <cellStyle name="Comma  - Style6" xfId="1450" xr:uid="{511C0608-A6E1-4E59-9BC5-F8A815B4AB0F}"/>
    <cellStyle name="Comma  - Style7" xfId="1451" xr:uid="{9181E04D-2DEA-4E40-AB6C-368A9BEE0B91}"/>
    <cellStyle name="Comma  - Style8" xfId="1452" xr:uid="{983A6AF2-3AEA-4328-809E-2208C533C090}"/>
    <cellStyle name="Comma [00]" xfId="1453" xr:uid="{4524588B-F56B-473F-B547-F4EB310B536C}"/>
    <cellStyle name="Comma [00] 2" xfId="1454" xr:uid="{87F3F636-BF07-4FEB-98A4-48164D799495}"/>
    <cellStyle name="Comma [00]_Action plan - Tank" xfId="1455" xr:uid="{AA0D1394-E0E5-44EE-80FA-86E9115A6BA3}"/>
    <cellStyle name="Comma 10" xfId="1456" xr:uid="{6BAC8263-B0DD-4B49-B0DE-7C75256719CD}"/>
    <cellStyle name="Comma 10 2" xfId="1457" xr:uid="{C1337522-A9AB-4749-8FCC-5F14B9A16CFD}"/>
    <cellStyle name="Comma 11" xfId="1458" xr:uid="{7CE7DD0B-C90E-469A-8ED2-91A3E8427CBD}"/>
    <cellStyle name="Comma 11 2" xfId="1459" xr:uid="{95723ED9-0888-49D4-8A49-5F573B8A4226}"/>
    <cellStyle name="Comma 12" xfId="1460" xr:uid="{2CF7A1B1-3912-4ED1-9C9E-E044A35FE1FE}"/>
    <cellStyle name="Comma 12 2" xfId="1461" xr:uid="{80998902-3FCC-4A5D-8D99-5E94CFE7F974}"/>
    <cellStyle name="Comma 13" xfId="1462" xr:uid="{5772BBFD-4F38-4BF0-935B-F6553556BF7F}"/>
    <cellStyle name="Comma 13 2" xfId="1463" xr:uid="{8595FBE9-624C-4FF8-B6B5-9726ED76A30C}"/>
    <cellStyle name="Comma 14" xfId="1464" xr:uid="{5B42D3D0-70A1-40E0-9DB0-2ACF2EB89F70}"/>
    <cellStyle name="Comma 14 2" xfId="1465" xr:uid="{1CF33285-4338-4B83-9522-36E3351FF08E}"/>
    <cellStyle name="Comma 15" xfId="1466" xr:uid="{0443BAD5-A086-40C9-8C80-0FFB024EED6C}"/>
    <cellStyle name="Comma 15 2" xfId="1467" xr:uid="{E6BE6246-88FF-430C-8540-0E908872FFB1}"/>
    <cellStyle name="Comma 16" xfId="1468" xr:uid="{AF87DF90-4CE2-49A2-B6D2-35920DAD9AE6}"/>
    <cellStyle name="Comma 16 2" xfId="1469" xr:uid="{A267F680-F68E-4D88-9305-A2B2EB376C8B}"/>
    <cellStyle name="Comma 17" xfId="1470" xr:uid="{4BA5C1F9-9D97-4303-80D0-F5E6D9C8EBD9}"/>
    <cellStyle name="Comma 17 2" xfId="1471" xr:uid="{2F14983B-693F-4D2C-8507-F27B674DCC82}"/>
    <cellStyle name="Comma 18" xfId="1472" xr:uid="{97DF0F8B-A85A-4BE2-9546-C13D7FD02941}"/>
    <cellStyle name="Comma 18 2" xfId="1473" xr:uid="{ADB1236E-3541-4497-8F79-CBF80E32111E}"/>
    <cellStyle name="Comma 19" xfId="1474" xr:uid="{4026D7BC-C044-4651-911E-D4D3948EDB1A}"/>
    <cellStyle name="Comma 19 2" xfId="1475" xr:uid="{FC0286A5-4828-4518-A28B-F0A04290CE26}"/>
    <cellStyle name="Comma 2" xfId="1476" xr:uid="{CB6AE459-6B0B-4875-9B70-2BC63D5653F1}"/>
    <cellStyle name="Comma 2 10" xfId="1477" xr:uid="{E2B97213-A10F-4093-8A08-B495AE058A19}"/>
    <cellStyle name="Comma 2 10 2" xfId="1478" xr:uid="{6CA0BB24-8B29-4C42-A048-4FD0EB5E398A}"/>
    <cellStyle name="Comma 2 10 2 2" xfId="1479" xr:uid="{3B8A7916-B287-4E67-8AB5-A160BB326566}"/>
    <cellStyle name="Comma 2 10 3" xfId="1480" xr:uid="{973D9021-4616-4EE1-A0F1-8787E8A86CA9}"/>
    <cellStyle name="Comma 2 10_Action Plan New -2016-2017" xfId="1481" xr:uid="{472E3DA5-333B-4870-AD9C-C63DFB52866F}"/>
    <cellStyle name="Comma 2 11" xfId="1482" xr:uid="{54044766-EB3E-43CB-9D36-A301BD8AB89B}"/>
    <cellStyle name="Comma 2 11 2" xfId="1483" xr:uid="{57CF1062-52BA-499B-AC82-991C9195EB53}"/>
    <cellStyle name="Comma 2 11 2 2" xfId="1484" xr:uid="{766AED03-8651-4084-9C48-C43C319A2A92}"/>
    <cellStyle name="Comma 2 11 3" xfId="1485" xr:uid="{1C93B4EF-BB6D-4814-A202-D5623E13B369}"/>
    <cellStyle name="Comma 2 11_Action Plan New -2016-2017" xfId="1486" xr:uid="{DB1F745B-BC68-45A9-80DC-11167A948A27}"/>
    <cellStyle name="Comma 2 12" xfId="1487" xr:uid="{C9D7CAC3-D70C-427D-9EA5-4E5C7B89A803}"/>
    <cellStyle name="Comma 2 12 2" xfId="1488" xr:uid="{96598378-C98C-4B4E-A58B-FA45B8714C0F}"/>
    <cellStyle name="Comma 2 12 2 2" xfId="1489" xr:uid="{E223DE44-2BE8-4411-8E08-ED2B74A9F92E}"/>
    <cellStyle name="Comma 2 12 3" xfId="1490" xr:uid="{2269AFC0-9EA5-4044-B909-1872D95D1095}"/>
    <cellStyle name="Comma 2 12_Action Plan New -2016-2017" xfId="1491" xr:uid="{E6E0D967-9ADA-4CD7-9A62-B150ECE06DBB}"/>
    <cellStyle name="Comma 2 13" xfId="1492" xr:uid="{AFDE1ACC-B18B-457A-903E-A6378F0D0251}"/>
    <cellStyle name="Comma 2 13 2" xfId="1493" xr:uid="{BFF661BC-E57A-4A1A-8506-EAEC49C24BB2}"/>
    <cellStyle name="Comma 2 13 2 2" xfId="1494" xr:uid="{FA6E9097-2FA2-42FE-85E6-1C290B610DA1}"/>
    <cellStyle name="Comma 2 13 3" xfId="1495" xr:uid="{B74C5E58-7FA2-4266-B155-A3B309EDA486}"/>
    <cellStyle name="Comma 2 13_Action Plan New -2016-2017" xfId="1496" xr:uid="{AD40E097-2F75-4BA0-A1E5-6A08A005DC30}"/>
    <cellStyle name="Comma 2 14" xfId="1497" xr:uid="{D9EC6FAB-D5FB-4959-BDF7-C4A914E5170E}"/>
    <cellStyle name="Comma 2 14 2" xfId="1498" xr:uid="{55AE007A-4811-4519-9F4C-51EC21519A95}"/>
    <cellStyle name="Comma 2 15" xfId="1499" xr:uid="{6D6BFCBA-5B89-43AE-B3F8-72D1B364481D}"/>
    <cellStyle name="Comma 2 15 2" xfId="1500" xr:uid="{54A0EC3E-E867-4FC8-8239-E4D6EA0918D9}"/>
    <cellStyle name="Comma 2 16" xfId="1501" xr:uid="{EB657C31-C372-4C48-811B-DD2A8B4A4462}"/>
    <cellStyle name="Comma 2 16 2" xfId="1502" xr:uid="{F0A0625F-850A-4D86-8CB4-E5FA64A66F80}"/>
    <cellStyle name="Comma 2 17" xfId="1503" xr:uid="{EA04D0F8-6CCA-4946-9B2E-F30BFA23A1DE}"/>
    <cellStyle name="Comma 2 17 2" xfId="1504" xr:uid="{2B9BBD69-3086-4965-9420-0DD26AC76F52}"/>
    <cellStyle name="Comma 2 18" xfId="1505" xr:uid="{AF1A9B6A-C3FA-4299-9310-7D376609B9AB}"/>
    <cellStyle name="Comma 2 18 2" xfId="1506" xr:uid="{4EF25781-E292-4264-BD7E-A2B79D74E0CB}"/>
    <cellStyle name="Comma 2 19" xfId="1507" xr:uid="{DE60D40E-91DE-45AA-BC83-E34A193CD2D4}"/>
    <cellStyle name="Comma 2 19 2" xfId="1508" xr:uid="{9A3D0827-A9D9-4601-B0FC-8A592EDB4C82}"/>
    <cellStyle name="Comma 2 2" xfId="1509" xr:uid="{DA831C10-7434-4BF5-862B-63F98ED533A2}"/>
    <cellStyle name="Comma 2 2 10" xfId="1510" xr:uid="{397AE2BC-DB45-4365-8CB8-99EDE1267C30}"/>
    <cellStyle name="Comma 2 2 10 2" xfId="1511" xr:uid="{67609506-8E38-447E-AE1D-120CDB1D91A0}"/>
    <cellStyle name="Comma 2 2 11" xfId="1512" xr:uid="{8390E18F-606A-46CE-B185-B485C036AA1D}"/>
    <cellStyle name="Comma 2 2 11 2" xfId="1513" xr:uid="{5649D936-9EDB-4918-A0A9-82D26F6BD5BB}"/>
    <cellStyle name="Comma 2 2 12" xfId="1514" xr:uid="{2C7CF688-F9B4-4F54-B3DD-6DA07C4C6BD4}"/>
    <cellStyle name="Comma 2 2 12 2" xfId="1515" xr:uid="{EE3F3618-E893-46F7-9898-0BB16F5A9B97}"/>
    <cellStyle name="Comma 2 2 13" xfId="1516" xr:uid="{A4B5D546-E18E-44D2-B5DE-51FAF86146B5}"/>
    <cellStyle name="Comma 2 2 13 2" xfId="1517" xr:uid="{28702ADE-7D23-4D7E-A50D-62E3BD6D9B50}"/>
    <cellStyle name="Comma 2 2 14" xfId="1518" xr:uid="{5D6FAFED-F71B-43C3-A0D2-6709B083C40D}"/>
    <cellStyle name="Comma 2 2 14 2" xfId="1519" xr:uid="{521A6BE1-B1A7-4929-B6FB-2A6E9C8D0472}"/>
    <cellStyle name="Comma 2 2 15" xfId="1520" xr:uid="{043588DF-D008-496F-A7BE-B171BDCEDD4B}"/>
    <cellStyle name="Comma 2 2 15 2" xfId="1521" xr:uid="{977C0167-5CC3-4B73-8091-D936E6099863}"/>
    <cellStyle name="Comma 2 2 16" xfId="1522" xr:uid="{98105B2A-691A-4CFE-B1BF-9B634B6FD28E}"/>
    <cellStyle name="Comma 2 2 16 2" xfId="1523" xr:uid="{92ECB2A1-3FF7-40EB-9BBE-22554D88E68A}"/>
    <cellStyle name="Comma 2 2 17" xfId="1524" xr:uid="{61A4E729-FF28-4E62-8B75-90C3AEECB304}"/>
    <cellStyle name="Comma 2 2 17 2" xfId="1525" xr:uid="{F98B9622-DDFA-4F9B-847B-DA3F3D197DEB}"/>
    <cellStyle name="Comma 2 2 18" xfId="1526" xr:uid="{BD371D01-A1ED-4344-90F9-323B8E183C98}"/>
    <cellStyle name="Comma 2 2 18 2" xfId="1527" xr:uid="{0B30EF5C-F69C-4798-A5EF-D73909802ED1}"/>
    <cellStyle name="Comma 2 2 19" xfId="1528" xr:uid="{12BC71B6-246B-4516-9870-F527AE67BA68}"/>
    <cellStyle name="Comma 2 2 19 2" xfId="1529" xr:uid="{39EE1226-B734-48D4-AB29-8778CCFFBA34}"/>
    <cellStyle name="Comma 2 2 2" xfId="1530" xr:uid="{48DC931F-9CD3-4917-AB9D-B41C85334C78}"/>
    <cellStyle name="Comma 2 2 2 10" xfId="1531" xr:uid="{674A7CF6-BEC5-4C58-A190-3FA531A25C55}"/>
    <cellStyle name="Comma 2 2 2 10 2" xfId="1532" xr:uid="{22446C10-67F9-4F86-ABAF-57BC3C04C63C}"/>
    <cellStyle name="Comma 2 2 2 11" xfId="1533" xr:uid="{31A4944F-5EB9-462E-81FE-4A49DE144A06}"/>
    <cellStyle name="Comma 2 2 2 2" xfId="1534" xr:uid="{4FB0096C-83C7-42E4-A080-D04B755D5BE3}"/>
    <cellStyle name="Comma 2 2 2 2 2" xfId="1535" xr:uid="{BAB8D4C0-3C23-4C1F-8341-8B85E974213C}"/>
    <cellStyle name="Comma 2 2 2 3" xfId="1536" xr:uid="{E46DA3BC-C490-4F36-82D0-24B4A356ED7C}"/>
    <cellStyle name="Comma 2 2 2 3 2" xfId="1537" xr:uid="{EA4DF677-ED2A-450A-896A-9EDDE91638E2}"/>
    <cellStyle name="Comma 2 2 2 4" xfId="1538" xr:uid="{7693BCD2-4D42-4644-9872-7DF4A3FAAF0C}"/>
    <cellStyle name="Comma 2 2 2 4 2" xfId="1539" xr:uid="{9983ED10-9232-4EA4-B8F4-D5F762F2B5EB}"/>
    <cellStyle name="Comma 2 2 2 5" xfId="1540" xr:uid="{E19D9803-ECB6-48EF-A5F0-948B8FD86654}"/>
    <cellStyle name="Comma 2 2 2 5 2" xfId="1541" xr:uid="{AC437DEA-F9CC-4D55-8ED5-957AA9D2001E}"/>
    <cellStyle name="Comma 2 2 2 6" xfId="1542" xr:uid="{36B52202-E796-40D0-8438-AD6910B73658}"/>
    <cellStyle name="Comma 2 2 2 6 2" xfId="1543" xr:uid="{3A060E0F-0899-4ECC-9B30-F3EC3713DDC2}"/>
    <cellStyle name="Comma 2 2 2 7" xfId="1544" xr:uid="{E3E05468-1AD8-439A-A1FA-1DF238EBFAB5}"/>
    <cellStyle name="Comma 2 2 2 7 2" xfId="1545" xr:uid="{179C5C53-D642-47B3-9A29-4C32232DF362}"/>
    <cellStyle name="Comma 2 2 2 8" xfId="1546" xr:uid="{7CAB4729-9193-4CAD-B10C-12C98598EF1D}"/>
    <cellStyle name="Comma 2 2 2 8 2" xfId="1547" xr:uid="{08BB8398-7F13-401E-B8FC-12D33763404E}"/>
    <cellStyle name="Comma 2 2 2 9" xfId="1548" xr:uid="{09578976-7F60-4E06-A5E1-AA6DB85D556D}"/>
    <cellStyle name="Comma 2 2 2 9 2" xfId="1549" xr:uid="{A6C7FBFB-91D7-4A23-AAAA-181968E072CD}"/>
    <cellStyle name="Comma 2 2 2_5 ELGI Production Update - Feb'11 - Updated 01 03 11" xfId="1550" xr:uid="{540004B4-FE7A-49F9-883C-CC2C2C3F3BA7}"/>
    <cellStyle name="Comma 2 2 20" xfId="1551" xr:uid="{48A4D380-3D5D-48F1-A0FA-7F30B64F35E2}"/>
    <cellStyle name="Comma 2 2 20 2" xfId="1552" xr:uid="{4AA76FAB-FCF9-4FE4-85B1-5DCF271DF72E}"/>
    <cellStyle name="Comma 2 2 21" xfId="1553" xr:uid="{D4E38B9C-F76E-4750-B227-B9E01C91B7CB}"/>
    <cellStyle name="Comma 2 2 21 2" xfId="1554" xr:uid="{0D79B3F7-6460-4B4A-9AFD-A30C27B3C4A4}"/>
    <cellStyle name="Comma 2 2 22" xfId="1555" xr:uid="{E5D833EA-73B2-4BB7-B8C0-933ED4186630}"/>
    <cellStyle name="Comma 2 2 22 2" xfId="1556" xr:uid="{178B5D42-302C-4CCA-9434-039D26EF4768}"/>
    <cellStyle name="Comma 2 2 23" xfId="1557" xr:uid="{D129F597-6BED-4686-811D-E99AFA22EFEE}"/>
    <cellStyle name="Comma 2 2 23 2" xfId="1558" xr:uid="{E2557BE2-9EA8-4BFE-B981-4124C8DEC701}"/>
    <cellStyle name="Comma 2 2 24" xfId="1559" xr:uid="{2329FCE9-7C91-4DA0-806A-28D1AF6EFF4E}"/>
    <cellStyle name="Comma 2 2 24 2" xfId="1560" xr:uid="{A5BA7CD3-778E-4525-B3F0-015FBC85B7F4}"/>
    <cellStyle name="Comma 2 2 25" xfId="1561" xr:uid="{966ADE21-93B0-458D-8569-BE7F534C67B8}"/>
    <cellStyle name="Comma 2 2 26" xfId="1562" xr:uid="{47AA7FD2-2A6B-4581-8D38-965F9D7E8FF1}"/>
    <cellStyle name="Comma 2 2 27" xfId="1563" xr:uid="{91AE51B1-627E-4F5A-8D7B-10898C24DCC9}"/>
    <cellStyle name="Comma 2 2 3" xfId="1564" xr:uid="{829CA211-A6C2-411D-9A82-0F1DD890FF6C}"/>
    <cellStyle name="Comma 2 2 3 2" xfId="1565" xr:uid="{9570E504-E23C-4E2C-87AA-31181A950D9E}"/>
    <cellStyle name="Comma 2 2 4" xfId="1566" xr:uid="{8EE2A84F-B51A-4713-8DBF-5EC8B5DB18E0}"/>
    <cellStyle name="Comma 2 2 4 2" xfId="1567" xr:uid="{75F2FA09-2F9B-4DC1-AEC1-3D92FE8F61E0}"/>
    <cellStyle name="Comma 2 2 5" xfId="1568" xr:uid="{B950C6E9-A488-4B43-9AD9-B432FA5B79B8}"/>
    <cellStyle name="Comma 2 2 5 2" xfId="1569" xr:uid="{9AEDA339-3945-4794-AD03-D1DCDA01DD55}"/>
    <cellStyle name="Comma 2 2 6" xfId="1570" xr:uid="{07AFA349-062D-4BC0-BFCC-507B7CAAF087}"/>
    <cellStyle name="Comma 2 2 6 2" xfId="1571" xr:uid="{62A51F83-0B36-43BA-965A-A917B9F84581}"/>
    <cellStyle name="Comma 2 2 7" xfId="1572" xr:uid="{6E10065E-03F9-47DA-A884-3D0840AEED84}"/>
    <cellStyle name="Comma 2 2 7 2" xfId="1573" xr:uid="{8F64725A-61BF-43C0-BB40-1F8610B29EEE}"/>
    <cellStyle name="Comma 2 2 8" xfId="1574" xr:uid="{D99800DE-CD89-494F-BA62-6519BB086EB0}"/>
    <cellStyle name="Comma 2 2 8 2" xfId="1575" xr:uid="{296CA7D7-8444-4330-B08C-249C5CE18605}"/>
    <cellStyle name="Comma 2 2 9" xfId="1576" xr:uid="{4D8E7055-5979-415C-A8D2-B7E041121C99}"/>
    <cellStyle name="Comma 2 2 9 2" xfId="1577" xr:uid="{A0F25075-8330-49DE-96EB-9448CE6957AD}"/>
    <cellStyle name="Comma 2 2_2011-2012 MED Budget" xfId="1578" xr:uid="{16369C9A-53EA-4EE8-80B7-691709D51670}"/>
    <cellStyle name="Comma 2 20" xfId="1579" xr:uid="{BC9C2593-9C92-4B2E-916E-13CC0A518E1D}"/>
    <cellStyle name="Comma 2 20 2" xfId="1580" xr:uid="{CBD0968B-01C5-4B5B-9C69-3975864D4463}"/>
    <cellStyle name="Comma 2 21" xfId="1581" xr:uid="{049D1B70-3ADF-47D9-8E75-8F974E18BEBF}"/>
    <cellStyle name="Comma 2 21 2" xfId="1582" xr:uid="{A331469C-0324-4B50-90BE-8354C067DCF1}"/>
    <cellStyle name="Comma 2 22" xfId="1583" xr:uid="{5FCF7989-F0DA-4F03-9B5C-3F38C26C5E47}"/>
    <cellStyle name="Comma 2 22 2" xfId="1584" xr:uid="{8832BEE3-BEF1-429C-AD8F-EC240A66E0AB}"/>
    <cellStyle name="Comma 2 23" xfId="1585" xr:uid="{593DABD9-E7C5-4267-B922-878612BA59A4}"/>
    <cellStyle name="Comma 2 23 2" xfId="1586" xr:uid="{1B0B3A49-519E-44C6-BBF5-752F9E86FD39}"/>
    <cellStyle name="Comma 2 24" xfId="1587" xr:uid="{7103F198-D4F8-4705-A7C1-BC09CEBE38D8}"/>
    <cellStyle name="Comma 2 24 2" xfId="1588" xr:uid="{B2DFF5A7-5EB2-4A93-8FAE-77D9F0F7AAF4}"/>
    <cellStyle name="Comma 2 25" xfId="1589" xr:uid="{3AD1C452-B43A-4736-9161-001FAD10C31E}"/>
    <cellStyle name="Comma 2 25 2" xfId="1590" xr:uid="{EBE5D3A2-A8AE-4F0A-A9F1-7237BF1FC942}"/>
    <cellStyle name="Comma 2 26" xfId="1591" xr:uid="{E414BC4A-6FE6-4E90-8B6A-C0691698D4BF}"/>
    <cellStyle name="Comma 2 27" xfId="1592" xr:uid="{048DCF1C-D4D4-4B42-AA70-C59D55C0B3F5}"/>
    <cellStyle name="Comma 2 28" xfId="3822" xr:uid="{B113A36E-4F80-447E-A192-BAA4C07229B0}"/>
    <cellStyle name="Comma 2 3" xfId="1593" xr:uid="{E20CF572-5EA7-45C7-887F-2D53FFFBCF4C}"/>
    <cellStyle name="Comma 2 3 10" xfId="1594" xr:uid="{181C687F-FA1C-4734-A4FC-1B12FEB07B44}"/>
    <cellStyle name="Comma 2 3 10 2" xfId="1595" xr:uid="{B35117DD-FDDA-4E62-A4B0-BA0456942805}"/>
    <cellStyle name="Comma 2 3 11" xfId="1596" xr:uid="{7F13F68D-97BF-44B3-8DC8-40186B29EB6D}"/>
    <cellStyle name="Comma 2 3 11 2" xfId="1597" xr:uid="{8921A332-87C6-4301-BF4D-033C59F34796}"/>
    <cellStyle name="Comma 2 3 12" xfId="1598" xr:uid="{2B86C91C-671E-4DB4-9D49-F21906570C80}"/>
    <cellStyle name="Comma 2 3 13" xfId="1599" xr:uid="{CAA91824-E4C1-49E7-A2CF-22E55AEEC617}"/>
    <cellStyle name="Comma 2 3 2" xfId="1600" xr:uid="{A45255E4-E2D9-4EDF-AAD9-2EA47378187A}"/>
    <cellStyle name="Comma 2 3 2 2" xfId="1601" xr:uid="{021A4E68-3F06-4F19-943E-40C8EA3EBCD3}"/>
    <cellStyle name="Comma 2 3 3" xfId="1602" xr:uid="{4F87D3B0-83A0-4463-89ED-283E8EE6E236}"/>
    <cellStyle name="Comma 2 3 3 2" xfId="1603" xr:uid="{9F6C7FD4-3F62-457B-A5DD-62A6EDBA244D}"/>
    <cellStyle name="Comma 2 3 4" xfId="1604" xr:uid="{53B75ECB-44EB-4932-8909-63E36BFBFB35}"/>
    <cellStyle name="Comma 2 3 4 2" xfId="1605" xr:uid="{BEAAA1B8-C283-47A0-99AF-F3A818FD9E51}"/>
    <cellStyle name="Comma 2 3 5" xfId="1606" xr:uid="{066DB742-0EE2-4EF1-A97D-FB9BD4DC9FEF}"/>
    <cellStyle name="Comma 2 3 5 2" xfId="1607" xr:uid="{B5AFAE40-B810-4421-8B3D-FB99F466137C}"/>
    <cellStyle name="Comma 2 3 6" xfId="1608" xr:uid="{6BAFE332-D732-4271-ABAC-951A577DC639}"/>
    <cellStyle name="Comma 2 3 6 2" xfId="1609" xr:uid="{720A74B7-09AE-4B88-952E-102A0E1C0C61}"/>
    <cellStyle name="Comma 2 3 7" xfId="1610" xr:uid="{FF9898C3-EAEB-4AEE-B750-AFB71EA60426}"/>
    <cellStyle name="Comma 2 3 7 2" xfId="1611" xr:uid="{554756D6-22C0-407B-B73C-5C29BFCBB244}"/>
    <cellStyle name="Comma 2 3 8" xfId="1612" xr:uid="{465C8BD4-2E76-4DDA-94F3-051DDA9935D2}"/>
    <cellStyle name="Comma 2 3 8 2" xfId="1613" xr:uid="{86EC9497-642B-4483-89F8-B099B3D7B0B2}"/>
    <cellStyle name="Comma 2 3 9" xfId="1614" xr:uid="{93AA7A40-6CBD-43A5-957A-881CCA7F842E}"/>
    <cellStyle name="Comma 2 3 9 2" xfId="1615" xr:uid="{F087AB0E-5317-4B8D-96E6-2B06152C64F7}"/>
    <cellStyle name="Comma 2 3_5 ELGI Production Update - Feb'11 - Updated 01 03 11" xfId="1616" xr:uid="{CC3972F5-B70B-41B5-A909-079DBB3A5F5F}"/>
    <cellStyle name="Comma 2 4" xfId="1617" xr:uid="{497999F2-505C-459E-8754-967FB2678742}"/>
    <cellStyle name="Comma 2 4 10" xfId="1618" xr:uid="{484654F5-C09E-4B2D-8340-F0C3F05981AC}"/>
    <cellStyle name="Comma 2 4 10 2" xfId="1619" xr:uid="{8B45B462-719D-41C5-B9FA-B2A5BEDB3D38}"/>
    <cellStyle name="Comma 2 4 11" xfId="1620" xr:uid="{7ED806B4-BF23-4D69-9429-905CC41170DC}"/>
    <cellStyle name="Comma 2 4 11 2" xfId="1621" xr:uid="{5A73A5B3-DEF7-42F0-8485-A5308512AD13}"/>
    <cellStyle name="Comma 2 4 12" xfId="1622" xr:uid="{667E521E-A385-4D50-8542-1F1D525D835D}"/>
    <cellStyle name="Comma 2 4 2" xfId="1623" xr:uid="{66F4F45F-83D7-4FCD-AC55-882695B1579D}"/>
    <cellStyle name="Comma 2 4 2 2" xfId="1624" xr:uid="{54C11FC1-3F68-48C7-AE65-8DAE22C1E347}"/>
    <cellStyle name="Comma 2 4 3" xfId="1625" xr:uid="{DD76ECFB-9F34-41B6-A117-922D3FBD5407}"/>
    <cellStyle name="Comma 2 4 3 2" xfId="1626" xr:uid="{F4A49B01-F99F-49B4-9759-160D64C17216}"/>
    <cellStyle name="Comma 2 4 4" xfId="1627" xr:uid="{0E7DCA61-CF48-4992-B987-80A406E0FEB8}"/>
    <cellStyle name="Comma 2 4 4 2" xfId="1628" xr:uid="{09CBEFAE-81CC-4011-A449-C6091BCA2659}"/>
    <cellStyle name="Comma 2 4 5" xfId="1629" xr:uid="{E27859DD-C828-4630-8FC4-421BFE1674A3}"/>
    <cellStyle name="Comma 2 4 5 2" xfId="1630" xr:uid="{1768BFB6-F5B1-404A-89D9-2EE0861CF15D}"/>
    <cellStyle name="Comma 2 4 6" xfId="1631" xr:uid="{1932AD0A-0675-4C47-A2B0-4EF4BF4890A8}"/>
    <cellStyle name="Comma 2 4 6 2" xfId="1632" xr:uid="{C0D07289-3F80-4979-8AE9-6352D571DEC4}"/>
    <cellStyle name="Comma 2 4 7" xfId="1633" xr:uid="{63E31847-13FA-4E49-9A5B-406184A1C619}"/>
    <cellStyle name="Comma 2 4 7 2" xfId="1634" xr:uid="{6C0A9F03-BC21-4220-8C88-62859D989EEB}"/>
    <cellStyle name="Comma 2 4 8" xfId="1635" xr:uid="{6485063E-6C91-4908-BA2D-1B38F0150916}"/>
    <cellStyle name="Comma 2 4 8 2" xfId="1636" xr:uid="{511B6633-0FF3-4F3D-B65A-FFD61C2B85D6}"/>
    <cellStyle name="Comma 2 4 9" xfId="1637" xr:uid="{781A447D-8B11-4713-8DBA-451C7E852B12}"/>
    <cellStyle name="Comma 2 4 9 2" xfId="1638" xr:uid="{497F2DCB-9BC6-49BC-8C98-E9E35B4935A7}"/>
    <cellStyle name="Comma 2 4_5 ELGI Production Update - Feb'11 - Updated 01 03 11" xfId="1639" xr:uid="{583B0614-E2E1-4332-8165-BDD1F0E1FA88}"/>
    <cellStyle name="Comma 2 5" xfId="1640" xr:uid="{A43A71C3-EA19-4320-8A4D-05635D74BF48}"/>
    <cellStyle name="Comma 2 5 10" xfId="1641" xr:uid="{4CB9F11D-756D-4E08-9D84-4760D656E654}"/>
    <cellStyle name="Comma 2 5 10 2" xfId="1642" xr:uid="{8DDA9C4B-0AE2-4B08-8415-182E6BAB9DA7}"/>
    <cellStyle name="Comma 2 5 11" xfId="1643" xr:uid="{3BD23065-4C00-4CA8-A1EE-5C762410E4F2}"/>
    <cellStyle name="Comma 2 5 11 2" xfId="1644" xr:uid="{978EDF3F-C6C4-4D43-822D-1965B7DAD1DE}"/>
    <cellStyle name="Comma 2 5 12" xfId="1645" xr:uid="{E4CF359E-A322-42E8-B117-7966D6CF91CA}"/>
    <cellStyle name="Comma 2 5 2" xfId="1646" xr:uid="{CA7A4D66-CFF5-48D5-887D-1B0F5FDDDCD5}"/>
    <cellStyle name="Comma 2 5 2 2" xfId="1647" xr:uid="{CD2BF7C6-93F2-4A05-9689-A72168777411}"/>
    <cellStyle name="Comma 2 5 3" xfId="1648" xr:uid="{C2FDA4BD-D03C-45BE-94BC-716D830AAC90}"/>
    <cellStyle name="Comma 2 5 3 2" xfId="1649" xr:uid="{4CE92C5D-9D69-4BC6-98BB-D286AC38B92D}"/>
    <cellStyle name="Comma 2 5 4" xfId="1650" xr:uid="{F46EE2A0-5336-4800-A791-D7DDB31EE3AF}"/>
    <cellStyle name="Comma 2 5 4 2" xfId="1651" xr:uid="{40AA63C0-5006-4216-AA3B-A4441A5ECD88}"/>
    <cellStyle name="Comma 2 5 5" xfId="1652" xr:uid="{E4A49EDD-B33F-44B2-8AA2-6884A318A14B}"/>
    <cellStyle name="Comma 2 5 5 2" xfId="1653" xr:uid="{BB053BB7-D365-446F-A7FC-EB0B1CAA4554}"/>
    <cellStyle name="Comma 2 5 6" xfId="1654" xr:uid="{9DB99E8B-1912-4A46-A6BF-AED6FBE3517B}"/>
    <cellStyle name="Comma 2 5 6 2" xfId="1655" xr:uid="{FCE5F89C-9C42-4B34-8509-2729D28E1EE4}"/>
    <cellStyle name="Comma 2 5 7" xfId="1656" xr:uid="{259559CD-965E-46AA-A5C4-E3AD66AB3A47}"/>
    <cellStyle name="Comma 2 5 7 2" xfId="1657" xr:uid="{3860BA81-6314-4F5A-96BA-29C707935E26}"/>
    <cellStyle name="Comma 2 5 8" xfId="1658" xr:uid="{DCC92D0D-724C-4852-9036-C961B8F17404}"/>
    <cellStyle name="Comma 2 5 8 2" xfId="1659" xr:uid="{DE9F4A1C-4B01-45DC-98B3-B81F6F365191}"/>
    <cellStyle name="Comma 2 5 9" xfId="1660" xr:uid="{CD89AAAA-6A3E-482D-AB34-AFA460C1E5D7}"/>
    <cellStyle name="Comma 2 5 9 2" xfId="1661" xr:uid="{8FF855E2-5E91-4794-B71F-EBFA1DACAACB}"/>
    <cellStyle name="Comma 2 5_5 ELGI Production Update - Feb'11 - Updated 01 03 11" xfId="1662" xr:uid="{B823B645-AA4A-4E2E-A939-B23D26D736A4}"/>
    <cellStyle name="Comma 2 6" xfId="1663" xr:uid="{E2404E5F-79A2-4A3E-8032-4196C13CFE3F}"/>
    <cellStyle name="Comma 2 6 2" xfId="1664" xr:uid="{4690AEB6-7962-452A-B6BA-E025B34895F1}"/>
    <cellStyle name="Comma 2 6 2 2" xfId="1665" xr:uid="{116B1E57-AF2F-4CCC-B7CF-0E1488182448}"/>
    <cellStyle name="Comma 2 6 3" xfId="1666" xr:uid="{49EE74F4-C222-4970-9749-DF45D9585983}"/>
    <cellStyle name="Comma 2 6_Action Plan New -2016-2017" xfId="1667" xr:uid="{03620393-A2C7-4A96-9606-D866E6C8CC31}"/>
    <cellStyle name="Comma 2 7" xfId="1668" xr:uid="{7D682044-9800-4D39-99FE-FBFAB6A5A294}"/>
    <cellStyle name="Comma 2 7 2" xfId="1669" xr:uid="{DF066A02-4573-4A65-BAE4-374758AD1DF6}"/>
    <cellStyle name="Comma 2 7 2 2" xfId="1670" xr:uid="{99856AB8-ADB4-43DD-9AF1-F9AB886D0EC7}"/>
    <cellStyle name="Comma 2 7 3" xfId="1671" xr:uid="{F6B7CA87-4816-43B3-9679-3D2DD84372F4}"/>
    <cellStyle name="Comma 2 7_Action Plan New -2016-2017" xfId="1672" xr:uid="{53328688-291F-495F-B5AA-ED0F827E076F}"/>
    <cellStyle name="Comma 2 8" xfId="1673" xr:uid="{00939EC5-DC1E-4954-85F3-D5343122A588}"/>
    <cellStyle name="Comma 2 8 2" xfId="1674" xr:uid="{2AA2647D-C6C9-489C-8021-F1F4BF1F2B27}"/>
    <cellStyle name="Comma 2 8 2 2" xfId="1675" xr:uid="{D51ADE61-CACF-4E31-A84A-F5A69A2F1D6A}"/>
    <cellStyle name="Comma 2 8 3" xfId="1676" xr:uid="{C1E3EAB3-AB74-46F6-BE99-D9DE0B7E3A18}"/>
    <cellStyle name="Comma 2 8_Action Plan New -2016-2017" xfId="1677" xr:uid="{95F571EA-BFDC-4611-A02D-5FF0996B0BC7}"/>
    <cellStyle name="Comma 2 9" xfId="1678" xr:uid="{FAE56A13-792E-4656-84BD-A6AC281F73DD}"/>
    <cellStyle name="Comma 2 9 2" xfId="1679" xr:uid="{A3101A50-9CC7-449F-BCFC-3574DDF83A43}"/>
    <cellStyle name="Comma 2 9 2 2" xfId="1680" xr:uid="{4BD60DC5-0115-425E-83FC-D620AEF26417}"/>
    <cellStyle name="Comma 2 9 3" xfId="1681" xr:uid="{FF11EEA1-F42D-40AC-AA70-57770013532C}"/>
    <cellStyle name="Comma 2 9_Action Plan New -2016-2017" xfId="1682" xr:uid="{AB78B534-36B6-46A1-A460-E8D8666B05B7}"/>
    <cellStyle name="Comma 2_10 Control Points - 2011-12" xfId="1683" xr:uid="{4165D859-134C-45D4-83B8-E385C6F39C16}"/>
    <cellStyle name="Comma 20" xfId="1684" xr:uid="{4C04248A-2B2F-442C-8574-64EAF6584118}"/>
    <cellStyle name="Comma 20 2" xfId="1685" xr:uid="{40826BE5-89D7-4946-BE26-AB8000BE6851}"/>
    <cellStyle name="Comma 21" xfId="1686" xr:uid="{CA6C4A8A-2D13-4286-A29F-A6903EAC25EC}"/>
    <cellStyle name="Comma 21 2" xfId="1687" xr:uid="{BC0DF8D4-2690-4A50-8145-F57DC327A9D9}"/>
    <cellStyle name="Comma 22" xfId="1688" xr:uid="{F534F186-726F-41D7-AA9D-9457B0A26E3D}"/>
    <cellStyle name="Comma 22 2" xfId="1689" xr:uid="{462302EF-F32C-4D4B-85DD-CB464B6063A1}"/>
    <cellStyle name="Comma 23" xfId="1690" xr:uid="{9834F430-E87D-46D5-A24B-D5E6A5A5FD1C}"/>
    <cellStyle name="Comma 23 2" xfId="1691" xr:uid="{A5352987-1BF5-42AE-81C4-BE6636AB5876}"/>
    <cellStyle name="Comma 24" xfId="1692" xr:uid="{0DFF26C8-CD4C-4F7B-9B54-B334B0270F4B}"/>
    <cellStyle name="Comma 24 2" xfId="1693" xr:uid="{3F507C9A-D07A-4E4B-A143-59DF85844B90}"/>
    <cellStyle name="Comma 25" xfId="1694" xr:uid="{EB98E96E-2375-491F-8EAE-F64B14E29293}"/>
    <cellStyle name="Comma 25 2" xfId="1695" xr:uid="{80CD139E-D417-4C0A-BBF1-F6A414622DDE}"/>
    <cellStyle name="Comma 26" xfId="1696" xr:uid="{6F8DA699-2087-460B-827B-A9C7261DD847}"/>
    <cellStyle name="Comma 26 2" xfId="1697" xr:uid="{C978F12D-F344-4163-A5D0-2D7124C38D94}"/>
    <cellStyle name="Comma 26 2 2" xfId="1698" xr:uid="{4FF579FD-2C37-4810-9AEC-BEE60B391D2F}"/>
    <cellStyle name="Comma 26 3" xfId="1699" xr:uid="{AD147291-6E7D-4DBC-BE12-E0D11A6B1EEB}"/>
    <cellStyle name="Comma 26_Action Plan New -2016-2017" xfId="1700" xr:uid="{A2A30E91-436D-4FEB-9B68-627F47FB762F}"/>
    <cellStyle name="Comma 27" xfId="1701" xr:uid="{1AEAC5A4-768E-45A3-BBF7-77B9C98E3BE3}"/>
    <cellStyle name="Comma 27 2" xfId="1702" xr:uid="{5BF9F6B6-5B1B-4440-9B39-344EED530C51}"/>
    <cellStyle name="Comma 27 2 2" xfId="1703" xr:uid="{E015F75F-4039-456A-B458-3A77DEDC7E19}"/>
    <cellStyle name="Comma 27 3" xfId="1704" xr:uid="{B476B9F2-AA57-4545-9A27-FAD3D558FA4C}"/>
    <cellStyle name="Comma 27_Action Plan New -2016-2017" xfId="1705" xr:uid="{C9947D8D-8ADF-4FE4-9ACA-F32DF9D36CA1}"/>
    <cellStyle name="Comma 28" xfId="1706" xr:uid="{FD565BE7-B317-4C15-937A-EFE73502AA09}"/>
    <cellStyle name="Comma 28 2" xfId="1707" xr:uid="{DE882348-7FF1-4218-BE55-5AA8C8C25E57}"/>
    <cellStyle name="Comma 3" xfId="1708" xr:uid="{EE615A0E-53A4-4F86-8492-3AC9529BC0B1}"/>
    <cellStyle name="Comma 3 2" xfId="1709" xr:uid="{F7CA2EA1-AD6B-4405-B063-EC2B06D00246}"/>
    <cellStyle name="Comma 3 2 2" xfId="1710" xr:uid="{BCBBBDF2-0FB9-4BA5-AA26-E012DB2932A0}"/>
    <cellStyle name="Comma 3 2 3" xfId="1711" xr:uid="{8039D540-5404-44F2-AA8F-27E1AD30289B}"/>
    <cellStyle name="Comma 3 2 4" xfId="1712" xr:uid="{EC92A7B4-C748-4377-A910-258C0F7E5808}"/>
    <cellStyle name="Comma 3 3" xfId="1713" xr:uid="{77DABD3A-C825-4BC3-B3D1-9B1439A1BC67}"/>
    <cellStyle name="Comma 3 3 2" xfId="1714" xr:uid="{A50EC1BD-E1EC-4C57-B813-30F1B3519998}"/>
    <cellStyle name="Comma 3 4" xfId="1715" xr:uid="{8D21DBA9-4192-4B3D-9019-FD652EA2418F}"/>
    <cellStyle name="Comma 3 4 2" xfId="1716" xr:uid="{D38E9D34-FF76-4A76-B67F-624D9131B305}"/>
    <cellStyle name="Comma 3 5" xfId="1717" xr:uid="{8A583A65-789D-4E8B-85AE-2AE0E8B515F8}"/>
    <cellStyle name="Comma 3 5 2" xfId="1718" xr:uid="{CFD8D4BC-6F01-4685-A617-638A2279E6BA}"/>
    <cellStyle name="Comma 3 6" xfId="1719" xr:uid="{1338D14E-FA13-4E76-9420-6227790A59DA}"/>
    <cellStyle name="Comma 3 6 2" xfId="1720" xr:uid="{2979BE07-80C0-4D5A-B943-382C02E09D5E}"/>
    <cellStyle name="Comma 3 7" xfId="1721" xr:uid="{40DB9AF1-B663-467B-B9DE-8DCBB54EB763}"/>
    <cellStyle name="Comma 3 8" xfId="1722" xr:uid="{38523288-631B-4BDD-956B-BC4A4179AAAF}"/>
    <cellStyle name="Comma 3_10 Control Points - 2011-12" xfId="1723" xr:uid="{76516B42-3B80-4194-8837-6C092CD795FE}"/>
    <cellStyle name="Comma 31" xfId="1724" xr:uid="{C1298CCE-270C-480D-A9D1-E7803CDDDE11}"/>
    <cellStyle name="Comma 33" xfId="1725" xr:uid="{F20BE7E0-7B95-480B-A748-C4D37A715A2A}"/>
    <cellStyle name="Comma 35" xfId="1726" xr:uid="{0894173E-0173-41D9-A874-FA64BB4F092F}"/>
    <cellStyle name="Comma 4" xfId="1727" xr:uid="{833DAB50-C5A6-4113-951D-0831B6255C13}"/>
    <cellStyle name="Comma 4 2" xfId="1728" xr:uid="{257950C0-0686-46C5-B4A4-0872B10A2132}"/>
    <cellStyle name="Comma 4 2 2" xfId="1729" xr:uid="{026DDDE5-1E1D-4B2A-828C-9910A5CD3822}"/>
    <cellStyle name="Comma 4 2 2 2" xfId="1730" xr:uid="{F464F5A8-81A7-4A65-881D-409BFE7E8B8A}"/>
    <cellStyle name="Comma 4 2 3" xfId="1731" xr:uid="{4FF15F1B-1823-4D5C-B536-80C324C65FB1}"/>
    <cellStyle name="Comma 4 2_Action Plan New -2016-2017" xfId="1732" xr:uid="{B58FF0C5-E292-450D-9194-1FF57D4B86B2}"/>
    <cellStyle name="Comma 4 3" xfId="1733" xr:uid="{8A5FCEC5-FCAA-4D4A-BCAB-ECF85DD789A9}"/>
    <cellStyle name="Comma 4 3 2" xfId="1734" xr:uid="{84C6B4DF-6970-4C9C-8D61-67552D49FB6A}"/>
    <cellStyle name="Comma 4 3 2 2" xfId="1735" xr:uid="{5653FAC6-B63E-492E-ACDF-50367145D1EE}"/>
    <cellStyle name="Comma 4 3 3" xfId="1736" xr:uid="{A9C0D852-B23E-4853-A840-61A776F4401A}"/>
    <cellStyle name="Comma 4 3_Action Plan New -2016-2017" xfId="1737" xr:uid="{584C8904-BF82-471E-B51F-E3A798FDCD55}"/>
    <cellStyle name="Comma 4 4" xfId="1738" xr:uid="{51E7CD66-1944-4BFB-99DE-7D244F092924}"/>
    <cellStyle name="Comma 4 4 2" xfId="1739" xr:uid="{D4A6E73C-E8A8-40B2-A80A-879566F2AFF8}"/>
    <cellStyle name="Comma 4 5" xfId="1740" xr:uid="{B50C2C0C-FF84-490D-AAEE-3FA28E88EC6C}"/>
    <cellStyle name="Comma 4_Action Plan New -2016-2017" xfId="1741" xr:uid="{D3DFCF2C-8B2B-4983-B11F-09E4DFFED9A6}"/>
    <cellStyle name="Comma 5" xfId="1742" xr:uid="{2CCEED97-9BD0-4ACE-9EE5-61A8993C852A}"/>
    <cellStyle name="Comma 5 2" xfId="1743" xr:uid="{2EB2C880-5B81-4546-8163-C04B1C8DF4EB}"/>
    <cellStyle name="Comma 5 2 2" xfId="1744" xr:uid="{192A0319-B588-487D-A2B9-68C148BB216F}"/>
    <cellStyle name="Comma 5 3" xfId="1745" xr:uid="{60F15F33-06DC-4DE9-A276-D073E96F9108}"/>
    <cellStyle name="Comma 5_Action plan - Tank" xfId="1746" xr:uid="{A0708DA5-6F11-4608-90E0-A8FF9B2A8074}"/>
    <cellStyle name="Comma 6" xfId="1747" xr:uid="{C0B15C0D-0539-4868-90E2-82344645C213}"/>
    <cellStyle name="Comma 6 2" xfId="1748" xr:uid="{EC243BA0-D71E-4822-A896-AD19624526E2}"/>
    <cellStyle name="Comma 7" xfId="1749" xr:uid="{E9D75627-87EC-4482-A95D-24BF5A05D679}"/>
    <cellStyle name="Comma 7 2" xfId="1750" xr:uid="{644F5937-DA09-4A7A-9F70-BCDD021FD9D2}"/>
    <cellStyle name="Comma 8" xfId="1751" xr:uid="{6A71D267-866E-4C12-999F-795322DC04F6}"/>
    <cellStyle name="Comma 8 2" xfId="1752" xr:uid="{9741D4F8-54EA-42C6-9F15-273CD754C94B}"/>
    <cellStyle name="Comma 9" xfId="1753" xr:uid="{253B200B-4D2C-4F15-9EB6-77C546DB3EDB}"/>
    <cellStyle name="Comma 9 2" xfId="1754" xr:uid="{91DAD1D1-93BA-425F-B5A8-502278B36BC1}"/>
    <cellStyle name="Comma0" xfId="1755" xr:uid="{59402861-3B9C-4918-84C4-55F848A20069}"/>
    <cellStyle name="Comma0 2" xfId="1756" xr:uid="{FA3C2D55-6FD7-42BE-9424-BCDD4E16EDA4}"/>
    <cellStyle name="Copied" xfId="1757" xr:uid="{DFF7172F-03E1-46E7-9D1F-23C7D0802810}"/>
    <cellStyle name="Copied 2" xfId="1758" xr:uid="{3982E0EF-5CF7-4D5A-8614-4399D28C0546}"/>
    <cellStyle name="Curren - Style3" xfId="1759" xr:uid="{0AE58D4C-0AD8-42E4-9647-3CCFEB4280DE}"/>
    <cellStyle name="Curren - Style3 2" xfId="1760" xr:uid="{808E0F07-1EBD-4134-B6E4-9088A783CEA7}"/>
    <cellStyle name="Curren - Style3_Book1" xfId="1761" xr:uid="{24600515-7AA0-4A15-AAEE-A38ABFD61F2B}"/>
    <cellStyle name="Curren - Style4" xfId="1762" xr:uid="{D6D565DF-7C6C-4494-976D-48A758D05612}"/>
    <cellStyle name="Curren - Style4 2" xfId="1763" xr:uid="{48FC45C8-845C-4192-AB66-52D2D97C03BA}"/>
    <cellStyle name="Curren - Style4_Book1" xfId="1764" xr:uid="{408830DF-2463-4DB7-83E8-0E27D9198D88}"/>
    <cellStyle name="Currency $" xfId="1765" xr:uid="{7E22A454-0053-4A5E-958F-3ED45BF86DB2}"/>
    <cellStyle name="Currency $ 2" xfId="1766" xr:uid="{6D036D11-E040-4414-8F97-4578939E6465}"/>
    <cellStyle name="Currency [00]" xfId="1767" xr:uid="{43B447CA-B95A-4C35-8B9A-FD3F816A91FE}"/>
    <cellStyle name="Currency [00] 2" xfId="1768" xr:uid="{FA99AEAB-053F-4070-81CF-081157B13048}"/>
    <cellStyle name="Currency [00]_Action plan - Tank" xfId="1769" xr:uid="{C41CF36E-9E74-4403-9469-0D1082669BDD}"/>
    <cellStyle name="Currency 2" xfId="1770" xr:uid="{B1E52131-8100-4080-8039-4CBD6B936E4E}"/>
    <cellStyle name="Currency 2 2" xfId="1771" xr:uid="{97641701-1D75-4EE8-ABB5-8F9EB44A7BB6}"/>
    <cellStyle name="Currency 2 2 2" xfId="1772" xr:uid="{C875160B-5198-42CF-92D4-600E70B115DD}"/>
    <cellStyle name="Currency 2 3" xfId="1773" xr:uid="{A2B38ACD-A6B3-4A0E-AF15-FDFBEBA9AC53}"/>
    <cellStyle name="Currency 2 4" xfId="1774" xr:uid="{81CD6CA5-FDC7-4CBB-BA5D-C9BF24797777}"/>
    <cellStyle name="Currency 3" xfId="1775" xr:uid="{6027B198-05D2-4073-93F8-0D8CE525A6A1}"/>
    <cellStyle name="Currency0" xfId="1776" xr:uid="{326A64DB-D727-430E-86CB-9DF83DE44769}"/>
    <cellStyle name="Currency0 2" xfId="1777" xr:uid="{F3CEA3E0-ACF4-4FAD-AAAA-06D2C3E81BCC}"/>
    <cellStyle name="custom" xfId="1778" xr:uid="{491A416D-8226-4DC1-A923-98C7EDB010E8}"/>
    <cellStyle name="custom 2" xfId="1779" xr:uid="{A4039951-A200-4149-81DA-7BD11CBF5DA4}"/>
    <cellStyle name="custom_Action plan - Tank" xfId="1780" xr:uid="{DAF7B314-C4EC-4E14-BFC7-225A772CD305}"/>
    <cellStyle name="CuѲrency_roy-12.2.98" xfId="1781" xr:uid="{1A6E5F80-9AC0-4274-A79A-A4F3FDA0226E}"/>
    <cellStyle name="Dark Title" xfId="1782" xr:uid="{7FF7534B-B3C1-46D0-8835-B5939B7D352E}"/>
    <cellStyle name="Data" xfId="1783" xr:uid="{6E1C98DF-4551-44C3-ADFB-01A95D32BE15}"/>
    <cellStyle name="Data 2" xfId="1784" xr:uid="{2B517BF9-300A-427E-97F1-51C9C2B1AF98}"/>
    <cellStyle name="Data 2 2" xfId="1785" xr:uid="{E0105319-B883-4B8C-B89E-71CE22D54528}"/>
    <cellStyle name="Data 2 3" xfId="1786" xr:uid="{F81F3CB1-8ECA-4F7A-9BD4-F366E3536B3E}"/>
    <cellStyle name="Data 2 4" xfId="1787" xr:uid="{4635970C-6C50-43B0-90FD-E95B3B0FD5EA}"/>
    <cellStyle name="Data 2 5" xfId="1788" xr:uid="{DD57322F-55C3-4129-A3F8-FD084DDDBFE4}"/>
    <cellStyle name="Data 3" xfId="1789" xr:uid="{4D28501B-B363-408A-B188-D95676ABD3F9}"/>
    <cellStyle name="DataPilot Result" xfId="1790" xr:uid="{A458FF55-4A75-4ADD-90E5-C686C35DF1D8}"/>
    <cellStyle name="DataPilot Result 2" xfId="1791" xr:uid="{930D470E-E164-42EB-93E8-F1EA13EA44D6}"/>
    <cellStyle name="DataPilot Result_Capital per unit 23.12.15 " xfId="1792" xr:uid="{0C2C7D78-AD1A-446A-8DE9-D01073A523BA}"/>
    <cellStyle name="DataPilot Value" xfId="1793" xr:uid="{337E56DF-7AA4-4A0D-A51A-C7D661962370}"/>
    <cellStyle name="DataPilot Value 2" xfId="1794" xr:uid="{A207532E-C8D9-4EF9-8E01-5D725C696936}"/>
    <cellStyle name="DataPilot Value_Capital per unit 23.12.15 " xfId="1795" xr:uid="{EAB79AC6-1D62-4C5B-8437-1C219FBF8827}"/>
    <cellStyle name="Date" xfId="1796" xr:uid="{86B77A1B-955B-4AEB-BBEE-6E2E7CA0FD6C}"/>
    <cellStyle name="Date 2" xfId="1797" xr:uid="{32B04D9B-523A-452B-BDF9-03521A1D3698}"/>
    <cellStyle name="Date 3" xfId="1798" xr:uid="{92A0D78C-39EE-4A09-B489-E09E8D5FF85F}"/>
    <cellStyle name="Date Short" xfId="1799" xr:uid="{7771FF90-78F3-4EFD-A4F0-7A89FF263F46}"/>
    <cellStyle name="Date_1  CAPA - AMS 7 - 27 08 12" xfId="1800" xr:uid="{BD7BA183-795F-408C-84CA-C1BD8E9A6E42}"/>
    <cellStyle name="Datum" xfId="1801" xr:uid="{B2B7E440-8C43-4052-B456-940BB9520C86}"/>
    <cellStyle name="DELTA" xfId="1802" xr:uid="{6C3E94DD-EA3E-4540-9D4D-B4F462E9F4A6}"/>
    <cellStyle name="DELTA 2" xfId="1803" xr:uid="{E3B13B8B-576E-4558-8D96-4A566048712F}"/>
    <cellStyle name="Dezimal [0]_!!!GO" xfId="1804" xr:uid="{6710A359-CC49-4D5C-9989-AA9C311B77A1}"/>
    <cellStyle name="Dezimal_!!!GO" xfId="1805" xr:uid="{A336787C-1A6B-4FFF-B3DC-3B525EF606BA}"/>
    <cellStyle name="Dziesietny [0]_quotation1" xfId="1806" xr:uid="{B70BAFB1-9341-47B0-8721-30D7883BD91A}"/>
    <cellStyle name="Dziesietny_quotation1" xfId="1807" xr:uid="{B5B2F6FF-9B67-46D7-BDBE-8AF176FCA02F}"/>
    <cellStyle name="ECT" xfId="1808" xr:uid="{A12869A6-72D6-4B2F-BFD6-E181AAFA31A9}"/>
    <cellStyle name="Enter Currency (0)" xfId="1809" xr:uid="{F23AF5D6-EC45-4D4C-AD1A-F0DF0C3AB661}"/>
    <cellStyle name="Enter Currency (0) 2" xfId="1810" xr:uid="{69B36936-A969-48C7-9230-58ADAE5DB481}"/>
    <cellStyle name="Enter Currency (0)_Capital per unit 23.12.15 " xfId="1811" xr:uid="{4C642ECA-2E37-4930-ADCC-DF1D99451903}"/>
    <cellStyle name="Enter Currency (2)" xfId="1812" xr:uid="{0FE38F7E-4F02-4560-920D-C89FB0FEA506}"/>
    <cellStyle name="Enter Currency (2) 2" xfId="1813" xr:uid="{6D1D6BBE-6DE9-42A9-ADAF-55D45D3BF6CD}"/>
    <cellStyle name="Enter Units (0)" xfId="1814" xr:uid="{30990DE9-5255-4752-A395-5C3D7373EC90}"/>
    <cellStyle name="Enter Units (0) 2" xfId="1815" xr:uid="{C42ED26B-5A72-493E-9758-32E70F337B9E}"/>
    <cellStyle name="Enter Units (0)_Capital per unit 23.12.15 " xfId="1816" xr:uid="{AD80B19A-AD91-4C56-90B1-F2F23C475DF4}"/>
    <cellStyle name="Enter Units (1)" xfId="1817" xr:uid="{6177810C-91CF-40B9-8D97-340F1C1B9E6E}"/>
    <cellStyle name="Enter Units (1) 2" xfId="1818" xr:uid="{6D906171-0FB4-426F-A4B3-16114C0F941E}"/>
    <cellStyle name="Enter Units (2)" xfId="1819" xr:uid="{A0D878E2-6B92-43FE-9770-293ABFD6DB90}"/>
    <cellStyle name="Enter Units (2) 2" xfId="1820" xr:uid="{938C1827-4F57-4D7F-AFE8-0B361546244B}"/>
    <cellStyle name="Entered" xfId="1821" xr:uid="{603630B4-6603-4CF9-B5B8-E69940BA1EF4}"/>
    <cellStyle name="Entered 2" xfId="1822" xr:uid="{00320E16-A4CD-4771-9996-1B6081EDB34F}"/>
    <cellStyle name="Excel Built-in Excel Built-in Excel Built-in Excel Bu" xfId="1823" xr:uid="{60783B1C-CF16-472F-9918-D3F50E77E6EB}"/>
    <cellStyle name="Excel Built-in Excel Built-in Excel Built-in Excel Bui" xfId="1824" xr:uid="{4B8748D1-5C61-4FDC-A4C6-D55DC937926C}"/>
    <cellStyle name="Excel Built-in Excel Built-in Excel Built-in Excel Built-in Excel Built-in Excel Built-in Excel Built-in Excel Built-in Normal - Style1" xfId="1825" xr:uid="{C5C65E5F-D98A-41FD-A1B2-A67AE1E6ED27}"/>
    <cellStyle name="Excel Built-in Excel Built-in Excel Built-in Excel Built-in Excel Built-in Excel Built-in Excel Built-in Excel Built-in Normal 2" xfId="1826" xr:uid="{FE1597ED-9397-403A-A643-5AB8C1568E0F}"/>
    <cellStyle name="Excel Built-in Excel Built-in Excel Built-in Excel Built-in Excel Built-in Excel Built-in Excel Built-in Excel Built-in Normal 21 2" xfId="1827" xr:uid="{69F93C31-7865-4BE1-89BF-0165F102F70E}"/>
    <cellStyle name="Excel Built-in Excel Built-in Excel Built-in Excel Built-in Normal_NAVEEN  EBS -March -11" xfId="1828" xr:uid="{D9B00148-A5C5-4DA7-BC91-844AD0A74E06}"/>
    <cellStyle name="Excel Built-in Excel Built-in Pivot Table Category" xfId="1829" xr:uid="{254BD2D9-4485-4384-82F1-65319B79F080}"/>
    <cellStyle name="Excel Built-in Excel Built-in Pivot Table Corner" xfId="1830" xr:uid="{DB40D8E8-7E13-4991-894E-30064C6775A9}"/>
    <cellStyle name="Excel Built-in Excel Built-in Pivot Table Field" xfId="1831" xr:uid="{5BACBC30-3BDF-4369-B3F7-B084B78387D8}"/>
    <cellStyle name="Excel Built-in Excel Built-in Pivot Table Result" xfId="1832" xr:uid="{236ECB46-182A-48DE-A528-831CF2E33839}"/>
    <cellStyle name="Excel Built-in Excel Built-in Pivot Table Title" xfId="1833" xr:uid="{44BEA6F7-AD61-429F-84AF-E83FE4122509}"/>
    <cellStyle name="Excel Built-in Excel Built-in Pivot Table Value" xfId="1834" xr:uid="{B01A408A-E29A-4D95-B63F-A62A7F6FEB4A}"/>
    <cellStyle name="Excel Built-in Excel Built-in TableStyleLight1" xfId="1835" xr:uid="{74E8B991-181E-48DD-A887-40F52BCCA8FD}"/>
    <cellStyle name="Excel Built-in Normal" xfId="1836" xr:uid="{021198FF-5926-4EB3-856A-493003C98EA5}"/>
    <cellStyle name="Excel Built-in Normal 2" xfId="1837" xr:uid="{30262AEC-3536-4BB9-9B37-7A1C1FE5066E}"/>
    <cellStyle name="Excel Built-in Normal_CK2 Plan Sepsac" xfId="1838" xr:uid="{CDCDE033-02CC-4D51-9B6F-9C919DD49A2E}"/>
    <cellStyle name="Excel Built-in Percent_Worksheet in Aug'12 Monthly review" xfId="1839" xr:uid="{A0B6B098-10D7-41CC-BC46-FD83279A5FCB}"/>
    <cellStyle name="Excel Built-in Pivot Table Category" xfId="1840" xr:uid="{37A4E323-0C06-4199-BD03-281FD6161C0D}"/>
    <cellStyle name="Excel Built-in Pivot Table Corner" xfId="1841" xr:uid="{1F3EE25E-36DA-48D6-9D1C-7A1743283695}"/>
    <cellStyle name="Excel Built-in Pivot Table Field" xfId="1842" xr:uid="{FEB7733D-85B1-46A2-A376-5AE956E62EE1}"/>
    <cellStyle name="Excel Built-in Pivot Table Result" xfId="1843" xr:uid="{D5536843-7091-45DB-AD05-FD5C4C132AD3}"/>
    <cellStyle name="Excel Built-in Pivot Table Title" xfId="1844" xr:uid="{DC09D41D-5571-4AE5-88D3-5AA52DE9A51A}"/>
    <cellStyle name="Excel Built-in Pivot Table Value" xfId="1845" xr:uid="{27C87096-86CB-4431-B8C2-5A02EBCD4B74}"/>
    <cellStyle name="excess" xfId="1846" xr:uid="{5661E69C-DC46-49B2-BC49-E6B47763497A}"/>
    <cellStyle name="Explanatory Text 10" xfId="1847" xr:uid="{867408A5-39B6-4B39-A17E-7380EA8F8782}"/>
    <cellStyle name="Explanatory Text 11" xfId="1848" xr:uid="{6F90616E-0D13-45DD-89F2-2EAFE4E7D900}"/>
    <cellStyle name="Explanatory Text 12" xfId="1849" xr:uid="{B4094086-40CC-4462-84EF-3124816E065D}"/>
    <cellStyle name="Explanatory Text 13" xfId="1850" xr:uid="{4A808019-AA93-4878-9918-4656443DD779}"/>
    <cellStyle name="Explanatory Text 14" xfId="1851" xr:uid="{DA04D211-7FE9-488C-ABE8-3552090F3081}"/>
    <cellStyle name="Explanatory Text 2" xfId="1" xr:uid="{68597631-3B33-4A03-A369-1A90E9FD69CD}"/>
    <cellStyle name="Explanatory Text 2 2" xfId="1852" xr:uid="{FE9182D1-114D-4E93-8FC6-5A2C685EF054}"/>
    <cellStyle name="Explanatory Text 2_2012" xfId="1853" xr:uid="{E27C6BC7-697A-488B-A2AC-0FD9C15BAB7D}"/>
    <cellStyle name="Explanatory Text 3" xfId="1854" xr:uid="{D5A09872-9FC5-4ED2-9D6C-628F354C89C9}"/>
    <cellStyle name="Explanatory Text 4" xfId="1855" xr:uid="{33FE9CC0-C2B2-473E-A7BF-3E6DEDABD0FB}"/>
    <cellStyle name="Explanatory Text 5" xfId="1856" xr:uid="{8865B8FD-286E-4CA6-9F99-31FA8A9067BC}"/>
    <cellStyle name="Explanatory Text 6" xfId="1857" xr:uid="{BC485BCE-B565-4891-AB32-EFF81084CF93}"/>
    <cellStyle name="Explanatory Text 7" xfId="1858" xr:uid="{92978115-7B0C-46B2-9A0C-69290FBB83F1}"/>
    <cellStyle name="Explanatory Text 8" xfId="1859" xr:uid="{67F6E97B-F0D2-4AE1-89C3-5A76253E97BB}"/>
    <cellStyle name="Explanatory Text 9" xfId="1860" xr:uid="{AB60CD2A-B4C1-48CE-95F1-2AE15F1809AA}"/>
    <cellStyle name="F2" xfId="1861" xr:uid="{3544E97C-7183-49CE-8453-1783000074C5}"/>
    <cellStyle name="F3" xfId="1862" xr:uid="{BCEE4B62-A6EB-4B43-8F9D-EBB4B467CB61}"/>
    <cellStyle name="F4" xfId="1863" xr:uid="{C4168828-5947-43A1-84FA-C2E71BB081ED}"/>
    <cellStyle name="F5" xfId="1864" xr:uid="{760A051C-8F19-4681-AA38-80A3BC5B2BBB}"/>
    <cellStyle name="F6" xfId="1865" xr:uid="{46D00142-C12B-4B4C-BA04-2D831C61CA6D}"/>
    <cellStyle name="F7" xfId="1866" xr:uid="{CDCFB9D7-3026-4C35-926D-F0D4F5F91A4B}"/>
    <cellStyle name="F8" xfId="1867" xr:uid="{0EF5FDA2-7CD4-431C-8E66-8674548F0035}"/>
    <cellStyle name="Fest" xfId="1868" xr:uid="{A363223D-22BC-49AE-8A9E-E01FEA780BCC}"/>
    <cellStyle name="Fixed" xfId="1869" xr:uid="{FD8B1A00-4D3B-4000-8BA5-8187A7FED67A}"/>
    <cellStyle name="Fixed 2" xfId="1870" xr:uid="{8F0511B7-A4E2-48B8-8DFC-A80A1E85337C}"/>
    <cellStyle name="Fixed 3" xfId="1871" xr:uid="{84AD8302-2DD0-4C9F-8304-44BF3CA02A7B}"/>
    <cellStyle name="Gesamt" xfId="1872" xr:uid="{B08021B1-262C-4912-96B7-45B342B5A921}"/>
    <cellStyle name="ĝ཰ĝ" xfId="1873" xr:uid="{7075E5FE-321D-4E6C-A238-CE4E559A6612}"/>
    <cellStyle name="Good 10" xfId="1874" xr:uid="{D4843DC6-93B8-4B71-B2BD-D73D16CDAEE8}"/>
    <cellStyle name="Good 10 2" xfId="1875" xr:uid="{4A68E11F-5046-440A-B7D9-7641747A8E0C}"/>
    <cellStyle name="Good 10 3" xfId="1876" xr:uid="{90092232-CC9A-4DBB-969C-B37F2A42BD7F}"/>
    <cellStyle name="Good 11" xfId="1877" xr:uid="{32612181-613A-48C1-B337-765D911E4ECB}"/>
    <cellStyle name="Good 11 2" xfId="1878" xr:uid="{C379FD66-A11C-4E17-B876-EDD3A191BA34}"/>
    <cellStyle name="Good 11 3" xfId="1879" xr:uid="{B37ECB50-4BF2-416F-A0DD-BA59AB4F23CE}"/>
    <cellStyle name="Good 12" xfId="1880" xr:uid="{EB7AA31C-A72B-4E01-8DAE-2661D09423F1}"/>
    <cellStyle name="Good 12 2" xfId="1881" xr:uid="{86541DE9-DB1A-4A07-8FAE-C515737535B1}"/>
    <cellStyle name="Good 12 3" xfId="1882" xr:uid="{7F0FDDC9-A08E-4E2D-8792-FE63426E3CCC}"/>
    <cellStyle name="Good 13" xfId="1883" xr:uid="{03A60ACF-8613-4C5E-BD66-8A12CC392545}"/>
    <cellStyle name="Good 13 2" xfId="1884" xr:uid="{734F9C2F-761F-4071-A374-AC19FFAB7331}"/>
    <cellStyle name="Good 13 3" xfId="1885" xr:uid="{C97240BA-3F14-42F0-829C-46E4CCB3B5DB}"/>
    <cellStyle name="Good 14" xfId="1886" xr:uid="{56DD482F-4C7E-4897-9077-714FEBFE273D}"/>
    <cellStyle name="Good 2" xfId="1887" xr:uid="{851B05F8-9BBF-44CA-8236-C416C343A7FA}"/>
    <cellStyle name="Good 2 2" xfId="1888" xr:uid="{9078F57F-5E36-4EBD-9260-E9DFA854C311}"/>
    <cellStyle name="Good 2 2 2" xfId="1889" xr:uid="{E428D6F1-04EF-43DC-9F67-50048C6121D9}"/>
    <cellStyle name="Good 2 3" xfId="1890" xr:uid="{804BB2BD-4B43-4B50-BDD0-D707D8350F1D}"/>
    <cellStyle name="Good 2_2012" xfId="1891" xr:uid="{A7E3CD41-6E14-4C60-8F2A-9DE907D7A562}"/>
    <cellStyle name="Good 3" xfId="1892" xr:uid="{011FC3E9-92C2-404A-B57B-1E188619AC22}"/>
    <cellStyle name="Good 3 2" xfId="1893" xr:uid="{961231DB-D7DE-4F75-87CC-1C8D9E56797F}"/>
    <cellStyle name="Good 3 3" xfId="1894" xr:uid="{4468951D-4EBB-43F3-A706-045CD11ED415}"/>
    <cellStyle name="Good 4" xfId="1895" xr:uid="{5BECF2C1-A4E2-4256-9BEE-27FEAD8C54EB}"/>
    <cellStyle name="Good 4 2" xfId="1896" xr:uid="{F4EB8C71-A9C0-42BA-8172-3248B28841C3}"/>
    <cellStyle name="Good 4 3" xfId="1897" xr:uid="{089808CD-72EE-456A-AEFC-A70F525B46B6}"/>
    <cellStyle name="Good 5" xfId="1898" xr:uid="{7D4FF913-E0F3-4FB5-AAD3-0BEDDAF71534}"/>
    <cellStyle name="Good 5 2" xfId="1899" xr:uid="{46DF19CC-1104-46CA-83BE-E54EB4BBC86A}"/>
    <cellStyle name="Good 5 3" xfId="1900" xr:uid="{3E5787F7-34EE-4DB0-BFF2-FC14FFBEB597}"/>
    <cellStyle name="Good 6" xfId="1901" xr:uid="{9322D707-CCB9-40B6-931C-1169632A50A1}"/>
    <cellStyle name="Good 6 2" xfId="1902" xr:uid="{6126E74B-84E6-4DF2-AA46-16CDFD439C27}"/>
    <cellStyle name="Good 6 3" xfId="1903" xr:uid="{51122735-9453-4C3A-A0AA-A9BBDC87178C}"/>
    <cellStyle name="Good 7" xfId="1904" xr:uid="{FC1AE680-C554-4BD4-B027-43D55D8734C2}"/>
    <cellStyle name="Good 7 2" xfId="1905" xr:uid="{91CD2C92-4C69-4768-ABD7-5CCBB37FC85B}"/>
    <cellStyle name="Good 7 3" xfId="1906" xr:uid="{45555034-6714-4234-90D7-CF17FE714078}"/>
    <cellStyle name="Good 8" xfId="1907" xr:uid="{E472927C-B0A2-4E47-817E-3712BD9A28B7}"/>
    <cellStyle name="Good 8 2" xfId="1908" xr:uid="{A8BAD9DC-34E3-485F-BF1F-F733B84C8A53}"/>
    <cellStyle name="Good 8 3" xfId="1909" xr:uid="{16C6DEBE-9568-4D54-9927-247FA2E07D11}"/>
    <cellStyle name="Good 9" xfId="1910" xr:uid="{A292F1F5-0CB8-4D64-AE44-1887997944A9}"/>
    <cellStyle name="Good 9 2" xfId="1911" xr:uid="{6284B144-9498-4E5D-80A6-72377C086E7E}"/>
    <cellStyle name="Good 9 3" xfId="1912" xr:uid="{EFB8F59C-BA5D-49F3-B2C0-0345EC9C1E17}"/>
    <cellStyle name="Grey" xfId="1913" xr:uid="{AEFDCDF3-C7AB-4C4D-AF48-FFD12DF0098F}"/>
    <cellStyle name="Grey 2" xfId="1914" xr:uid="{EE8E689A-A6C2-429B-A103-A6B1CBF78BE2}"/>
    <cellStyle name="Grey 2 2" xfId="1915" xr:uid="{C565CB48-B38A-4983-BA3D-D5BBAFCD8798}"/>
    <cellStyle name="Grey 2 3" xfId="1916" xr:uid="{443196E3-B2F3-48C3-B27F-313EA895F3AD}"/>
    <cellStyle name="Grey 3" xfId="1917" xr:uid="{E6C38CAA-7DF3-4D95-B1DF-A8E374DBE230}"/>
    <cellStyle name="Grey 4" xfId="1918" xr:uid="{D780BC56-2368-40B0-B598-5F3590568C44}"/>
    <cellStyle name="Grey_Action plan - Tank" xfId="1919" xr:uid="{875EB712-F049-48F6-A0FD-2E3631FACF4E}"/>
    <cellStyle name="HEADER" xfId="1920" xr:uid="{F13C273A-4CDC-4221-922D-833E0811A8BB}"/>
    <cellStyle name="HEADER 2" xfId="1921" xr:uid="{2F5FA479-F892-4BA5-A81E-6677EC2EEC3E}"/>
    <cellStyle name="HEADER 2 2" xfId="1922" xr:uid="{729B2A24-3E2B-4BBA-9F55-43DAB40E0447}"/>
    <cellStyle name="HEADER 3" xfId="1923" xr:uid="{B31FC03D-F006-4EF1-8C7F-0A0A935CD001}"/>
    <cellStyle name="HEADER_Action plan - Tank" xfId="1924" xr:uid="{95A04546-CC3E-47DA-9049-3C59D28D34BF}"/>
    <cellStyle name="Header1" xfId="1925" xr:uid="{4D68C245-150A-41D7-8139-5450B2221D10}"/>
    <cellStyle name="Header1 2" xfId="1926" xr:uid="{1577485F-6A1C-43C8-A47A-C859576B2023}"/>
    <cellStyle name="Header1 3" xfId="1927" xr:uid="{18DA3082-9489-42DE-B350-852A412BEF3C}"/>
    <cellStyle name="Header2" xfId="1928" xr:uid="{5E20A136-1602-4FF6-A46C-E06BA8D9EA70}"/>
    <cellStyle name="Header2 2" xfId="1929" xr:uid="{4A1348A3-D8EC-4EB4-A007-7A112D3BBBE2}"/>
    <cellStyle name="Header2 2 2" xfId="1930" xr:uid="{FE49A059-4E70-432F-80E2-546AD7046D20}"/>
    <cellStyle name="Header2 2 3" xfId="1931" xr:uid="{36FF73CE-8626-4082-A0F4-B74212F2D2A9}"/>
    <cellStyle name="Header2 2 4" xfId="1932" xr:uid="{B4F94E8E-D510-4812-9063-2F713DC1F5DD}"/>
    <cellStyle name="Header2 2 5" xfId="1933" xr:uid="{02EA1E70-23FD-4D2B-B116-FD4DF85BE546}"/>
    <cellStyle name="Header2 3" xfId="1934" xr:uid="{D48C0CB1-4AD2-4F2D-8388-0011E62C047D}"/>
    <cellStyle name="Header2 4" xfId="1935" xr:uid="{631D6BB4-EC6B-4D25-B923-FB8EE734F986}"/>
    <cellStyle name="Header2 5" xfId="1936" xr:uid="{37B8F5AC-E6E8-484F-9B53-3117FAE5180C}"/>
    <cellStyle name="Heading" xfId="1937" xr:uid="{18AE1212-27F2-4696-8C0E-9511E87D4CF2}"/>
    <cellStyle name="Heading 1 10" xfId="1938" xr:uid="{22472DDE-019D-4F68-8C08-C3CA98227E48}"/>
    <cellStyle name="Heading 1 11" xfId="1939" xr:uid="{E988131D-1055-4420-A396-697EC5C29BF5}"/>
    <cellStyle name="Heading 1 12" xfId="1940" xr:uid="{53B5616E-237A-45F7-B65E-9F5D5E60EA9B}"/>
    <cellStyle name="Heading 1 13" xfId="1941" xr:uid="{3DDAFC97-60F3-4181-859F-44C976DF6625}"/>
    <cellStyle name="Heading 1 14" xfId="1942" xr:uid="{445DE2B6-4B79-4533-B258-3CB8975D3F0B}"/>
    <cellStyle name="Heading 1 2" xfId="1943" xr:uid="{FF2AFD26-211E-489F-B3AB-4907D7F21A25}"/>
    <cellStyle name="Heading 1 2 2" xfId="1944" xr:uid="{728C24BA-4863-46C9-BAC8-4D18DD866997}"/>
    <cellStyle name="Heading 1 2_2.Control Points-Prabu-2012-13" xfId="1945" xr:uid="{3808FB53-F563-4B53-8E89-5A99A18320A1}"/>
    <cellStyle name="Heading 1 3" xfId="1946" xr:uid="{A7703028-7217-4124-8A96-DAA1B8041303}"/>
    <cellStyle name="Heading 1 4" xfId="1947" xr:uid="{C3018970-0DA4-44B0-8A5C-2B77CA74356E}"/>
    <cellStyle name="Heading 1 5" xfId="1948" xr:uid="{2AE682B7-B6A4-43B0-9346-BD4AB8A7E856}"/>
    <cellStyle name="Heading 1 6" xfId="1949" xr:uid="{DE6530D2-846F-4AC9-9681-BA60F45D8434}"/>
    <cellStyle name="Heading 1 7" xfId="1950" xr:uid="{334FDD3B-7690-4357-BDE2-D26126D9B510}"/>
    <cellStyle name="Heading 1 8" xfId="1951" xr:uid="{D5028C4C-55A9-4FE5-A1EE-23521FBD43C8}"/>
    <cellStyle name="Heading 1 9" xfId="1952" xr:uid="{2D371FD2-E587-49B7-A487-40B11F29AC90}"/>
    <cellStyle name="Heading 2 10" xfId="1953" xr:uid="{FB867AF7-AD10-439A-9D08-365F2C37FE20}"/>
    <cellStyle name="Heading 2 11" xfId="1954" xr:uid="{9407E649-16B1-413E-BE48-7262EB1602F6}"/>
    <cellStyle name="Heading 2 12" xfId="1955" xr:uid="{67A50FB0-4368-4727-925D-40F5E39D7362}"/>
    <cellStyle name="Heading 2 13" xfId="1956" xr:uid="{9BF798A5-D904-4BAC-B555-A73646710014}"/>
    <cellStyle name="Heading 2 14" xfId="1957" xr:uid="{7D58438E-70C6-49FB-858F-91FF5F90A7A5}"/>
    <cellStyle name="Heading 2 2" xfId="1958" xr:uid="{7F1317BC-B5A4-4A3D-8163-0F59330314B3}"/>
    <cellStyle name="Heading 2 2 2" xfId="1959" xr:uid="{0BC01C6A-1B8C-4E0D-802F-284DE90991BB}"/>
    <cellStyle name="Heading 2 2_2.Control Points-Prabu-2012-13" xfId="1960" xr:uid="{F64D2909-9443-4F08-A7BC-20EA8E78C348}"/>
    <cellStyle name="Heading 2 3" xfId="1961" xr:uid="{F4946823-D4AA-49EF-9FD3-44864FF9D59B}"/>
    <cellStyle name="Heading 2 4" xfId="1962" xr:uid="{D4212DEE-525E-41DF-8330-B1D3707F6019}"/>
    <cellStyle name="Heading 2 5" xfId="1963" xr:uid="{986BE999-F22A-47BD-A59E-E9639D076D82}"/>
    <cellStyle name="Heading 2 6" xfId="1964" xr:uid="{9B3C9172-0AED-411B-87D3-30E8B126D83F}"/>
    <cellStyle name="Heading 2 7" xfId="1965" xr:uid="{219AAA5A-301D-4512-B5E3-BF86236C7265}"/>
    <cellStyle name="Heading 2 8" xfId="1966" xr:uid="{893D4F4A-1CE5-4874-93A8-69185C8DECD3}"/>
    <cellStyle name="Heading 2 9" xfId="1967" xr:uid="{7EC6CC5A-A261-4D93-ABDD-DAA6DB2950D0}"/>
    <cellStyle name="Heading 3 10" xfId="1968" xr:uid="{DED204FA-AB2F-4388-8D95-7955325177B1}"/>
    <cellStyle name="Heading 3 11" xfId="1969" xr:uid="{CE764F34-B1F9-4BD3-A1A1-1882A4C9F20C}"/>
    <cellStyle name="Heading 3 12" xfId="1970" xr:uid="{44F063F4-D8C9-4314-93E0-20D559709FD5}"/>
    <cellStyle name="Heading 3 13" xfId="1971" xr:uid="{5D033371-DC89-48A5-AB4F-F88D336996B9}"/>
    <cellStyle name="Heading 3 14" xfId="1972" xr:uid="{13492570-D654-4734-81E5-1B0747459E0F}"/>
    <cellStyle name="Heading 3 2" xfId="1973" xr:uid="{F1C7F9AC-2BC8-4884-83D0-22F3C1A31F7E}"/>
    <cellStyle name="Heading 3 2 2" xfId="1974" xr:uid="{E28DC1B1-B928-4A56-ADA6-B3675717F31D}"/>
    <cellStyle name="Heading 3 2_2.Control Points-Prabu-2012-13" xfId="1975" xr:uid="{312D24D5-B93E-4A86-BC85-CD3A2BECF7C7}"/>
    <cellStyle name="Heading 3 3" xfId="1976" xr:uid="{F2F0C3A2-FF60-46BA-B674-7F77460FC09E}"/>
    <cellStyle name="Heading 3 4" xfId="1977" xr:uid="{F01DF43E-E03B-4DE5-A25F-C99EF998F667}"/>
    <cellStyle name="Heading 3 5" xfId="1978" xr:uid="{B6449CCC-16CF-4CCC-ACF9-A8C7B533B672}"/>
    <cellStyle name="Heading 3 6" xfId="1979" xr:uid="{FEFD1074-E6E2-41DF-B970-4F4EFBCAA9A1}"/>
    <cellStyle name="Heading 3 7" xfId="1980" xr:uid="{24BF1C91-1F3E-45C5-9262-0D6F1D7C1D9C}"/>
    <cellStyle name="Heading 3 8" xfId="1981" xr:uid="{660D28D9-2EFE-4894-8C8A-0A220729A931}"/>
    <cellStyle name="Heading 3 9" xfId="1982" xr:uid="{002D6925-5978-418B-BF35-C8AC5DD2C745}"/>
    <cellStyle name="Heading 4 10" xfId="1983" xr:uid="{DE301FB7-61D1-4A87-B50D-22108024CBE2}"/>
    <cellStyle name="Heading 4 11" xfId="1984" xr:uid="{F811DEE2-2B42-4E20-AD99-E87DC4C20990}"/>
    <cellStyle name="Heading 4 12" xfId="1985" xr:uid="{8B444F0F-FAFF-4754-A72D-2333315F4159}"/>
    <cellStyle name="Heading 4 13" xfId="1986" xr:uid="{AD83A728-C964-4F42-9EDA-8E80EC5A1C4C}"/>
    <cellStyle name="Heading 4 14" xfId="1987" xr:uid="{839C2560-1754-4D01-8B7B-CAA5CAAB2C4E}"/>
    <cellStyle name="Heading 4 2" xfId="1988" xr:uid="{59B44910-5F65-40EE-B84A-2A3BBE89EDD7}"/>
    <cellStyle name="Heading 4 2 2" xfId="1989" xr:uid="{7A7B976A-5DD0-4C9B-AF40-AEE78C693073}"/>
    <cellStyle name="Heading 4 2_2012" xfId="1990" xr:uid="{B572D255-B67F-4AF5-80E3-3B5306FA7BB2}"/>
    <cellStyle name="Heading 4 3" xfId="1991" xr:uid="{A6E6D886-C2C3-4A23-9C6D-FDCF214E09EF}"/>
    <cellStyle name="Heading 4 4" xfId="1992" xr:uid="{21BD7F68-93ED-4C5D-B84A-D6718B6F5FA3}"/>
    <cellStyle name="Heading 4 5" xfId="1993" xr:uid="{FF865468-210A-4BB8-9E65-A652FBDBB6D3}"/>
    <cellStyle name="Heading 4 6" xfId="1994" xr:uid="{67765847-6E5F-489F-AEAC-11D72E3DD037}"/>
    <cellStyle name="Heading 4 7" xfId="1995" xr:uid="{C5C0CD83-95C6-442C-8B34-39BE9D0304A8}"/>
    <cellStyle name="Heading 4 8" xfId="1996" xr:uid="{EC54E5D9-DB82-43F8-BDB4-40F71151F8B4}"/>
    <cellStyle name="Heading 4 9" xfId="1997" xr:uid="{B4B3F0E3-BE6B-4CED-87AF-FDBAD5DE400E}"/>
    <cellStyle name="Heading 5" xfId="1998" xr:uid="{233A8362-831D-473D-9CAE-06E2522B3BB2}"/>
    <cellStyle name="Heading 6" xfId="1999" xr:uid="{359B5C2D-4938-4604-AD07-A4875C323D37}"/>
    <cellStyle name="Heading1" xfId="2000" xr:uid="{2E9300D1-4F0D-407D-A668-CD4AF0D10D32}"/>
    <cellStyle name="Heading1 1" xfId="2001" xr:uid="{506FD15D-0B00-433D-8921-59E87D789663}"/>
    <cellStyle name="Heading1 1 1" xfId="2002" xr:uid="{B864C7F1-AE97-4D88-97EF-81427D156104}"/>
    <cellStyle name="Heading1 1 1 2" xfId="2003" xr:uid="{9D9B042C-89AA-4F66-8342-CFFDF0A29B50}"/>
    <cellStyle name="Heading1 1 2" xfId="2004" xr:uid="{BD42D992-010D-4C53-96D5-BD5C24D30DAE}"/>
    <cellStyle name="Heading1 1_16-17" xfId="2005" xr:uid="{74B62CD5-FC11-4B14-BD17-045ACA088109}"/>
    <cellStyle name="Heading1 2" xfId="2006" xr:uid="{2AE442B2-6BBA-47DB-AC2A-DA1B3F19794D}"/>
    <cellStyle name="Heading1 3" xfId="2007" xr:uid="{28226117-E0B3-4F77-B6F9-DD5190150448}"/>
    <cellStyle name="Heading1 4" xfId="2008" xr:uid="{CE2F3538-5198-4CBB-80B8-3E039628CDFD}"/>
    <cellStyle name="Heading1 5" xfId="2009" xr:uid="{7506D57B-0249-45BC-83A4-131C13CB4ECD}"/>
    <cellStyle name="Heading1 6" xfId="2010" xr:uid="{2B4AF898-6D96-4DCA-9992-271651356C1E}"/>
    <cellStyle name="Heading1 7" xfId="2011" xr:uid="{C1E109DB-5712-4BC4-8DA2-C821E41E66C1}"/>
    <cellStyle name="Heading1_1  CAPA - AMS 7 - 27 08 12" xfId="2012" xr:uid="{946AFB1F-E333-4CF8-B0DC-B4B5A4F1537A}"/>
    <cellStyle name="Heading2" xfId="2013" xr:uid="{EAAC8E4F-CA44-4F64-9B39-7C60A044EF96}"/>
    <cellStyle name="Heading2 2" xfId="2014" xr:uid="{F17B3A0E-AA2B-4219-9EBD-CBA0CAC8E69C}"/>
    <cellStyle name="Heading2 3" xfId="2015" xr:uid="{6DD6EC14-F4C0-49B2-9C11-92AA7E4DE4FF}"/>
    <cellStyle name="Hyperlink 2" xfId="2016" xr:uid="{6F403537-9B69-40AA-9F77-FA2A7151B047}"/>
    <cellStyle name="Hyperlink 2 2" xfId="2017" xr:uid="{D73C0E2C-FA7B-46BF-971E-01F0C17C07B5}"/>
    <cellStyle name="Hyperlink 2 2 2" xfId="2018" xr:uid="{39D14F33-7B3A-4890-B9CE-F910BBE47485}"/>
    <cellStyle name="Hyperlink 2 3" xfId="2019" xr:uid="{4A72A1AA-8982-4D18-BE41-6E3A94472935}"/>
    <cellStyle name="Hyperlink 2 4" xfId="2020" xr:uid="{5DB36D3B-0217-49EF-8A78-BEB63FE6A877}"/>
    <cellStyle name="Hyperlink 2_0- Dead Stk tracking" xfId="2021" xr:uid="{4A0942A7-5AE1-47CD-8596-EA4F2B52EFC2}"/>
    <cellStyle name="Hyperlink 3" xfId="2022" xr:uid="{9CB9BE35-76B8-4FA1-8EFD-05C30DD7779F}"/>
    <cellStyle name="Hyperlink 3 2" xfId="2023" xr:uid="{31EBA129-DFCC-4538-B475-4F3032601EEE}"/>
    <cellStyle name="Hyperlink 3 2 2" xfId="2024" xr:uid="{BE363B2D-1F85-419B-BDF6-F82A4BBCD2DC}"/>
    <cellStyle name="Hyperlink 3_Action plan - Tank" xfId="2025" xr:uid="{CAFFA0AD-B5CB-460E-BA74-157EA09BF268}"/>
    <cellStyle name="Hyperlink 4" xfId="2026" xr:uid="{03DFD54B-3B23-4B65-8EA4-DD61F99A62DD}"/>
    <cellStyle name="Input [yellow]" xfId="2027" xr:uid="{0456D6F3-9F35-4333-B441-A5BD53052D34}"/>
    <cellStyle name="Input [yellow] 2" xfId="2028" xr:uid="{2E26FC50-E1A8-42AF-B844-1507564DB5A6}"/>
    <cellStyle name="Input [yellow] 2 2" xfId="2029" xr:uid="{902DC33D-F373-4F7A-9C6F-A6CD023718FC}"/>
    <cellStyle name="Input [yellow] 2 3" xfId="2030" xr:uid="{F6EBBCE2-D490-4AC1-8BD6-5BDF5D6776AA}"/>
    <cellStyle name="Input [yellow] 2 4" xfId="2031" xr:uid="{56509E9A-FACB-40E1-A79D-4EE6AAF88CED}"/>
    <cellStyle name="Input [yellow] 3" xfId="2032" xr:uid="{B94FE094-5C13-4D5D-B9FE-6E4E0ABF4C36}"/>
    <cellStyle name="Input [yellow] 4" xfId="2033" xr:uid="{15A43CA6-FD27-4CD2-B812-33441B4462C3}"/>
    <cellStyle name="Input [yellow] 5" xfId="2034" xr:uid="{6A134722-1234-4B7A-A7B2-8F86863B5464}"/>
    <cellStyle name="Input [yellow]_Action plan - Tank" xfId="2035" xr:uid="{7BD171C4-E082-4E83-BB68-0EDE242E6E99}"/>
    <cellStyle name="Input 10" xfId="2036" xr:uid="{EFDEAA5C-517E-4A88-AB5E-AFD06269C746}"/>
    <cellStyle name="Input 10 2" xfId="2037" xr:uid="{4E4EDB84-D8BF-4F09-8933-F22B5DEFBDA9}"/>
    <cellStyle name="Input 10 2 2" xfId="2038" xr:uid="{DBC8B7A6-49F3-468A-AB1D-39F4144B986C}"/>
    <cellStyle name="Input 10 2 3" xfId="2039" xr:uid="{4C72B10F-3F57-4A27-B8D5-E62EED6C3A57}"/>
    <cellStyle name="Input 10 2 4" xfId="2040" xr:uid="{EDBD91FE-136B-48F8-8F3C-2F6B0A11448D}"/>
    <cellStyle name="Input 10 2 5" xfId="2041" xr:uid="{CAF4684E-CFB1-4449-8043-A1ACAB0708DE}"/>
    <cellStyle name="Input 10 3" xfId="2042" xr:uid="{56ED55F8-9220-4638-A705-AC94EBDEDCF3}"/>
    <cellStyle name="Input 10 3 2" xfId="2043" xr:uid="{24D34536-3100-4AFF-8DE7-140AFEFFEB5C}"/>
    <cellStyle name="Input 10 3 3" xfId="2044" xr:uid="{0B99E778-6C4C-44D7-A86C-1D70907C564C}"/>
    <cellStyle name="Input 10 3 4" xfId="2045" xr:uid="{1717EE5D-4EA5-47D4-B31F-7F15A9102AAB}"/>
    <cellStyle name="Input 10 3 5" xfId="2046" xr:uid="{A641BBF7-E946-4F1B-8A9A-611502B68B4F}"/>
    <cellStyle name="Input 10 4" xfId="2047" xr:uid="{3BC31FD6-D154-4FCD-850B-F235937103D5}"/>
    <cellStyle name="Input 10 5" xfId="2048" xr:uid="{E7395609-78E0-4C1B-8CD3-043765D8EECD}"/>
    <cellStyle name="Input 10 6" xfId="2049" xr:uid="{F3ADBEBB-9E0A-43B0-AB69-05BA4048CD40}"/>
    <cellStyle name="Input 10 7" xfId="2050" xr:uid="{4C1A23E2-60A9-4031-8C77-94A505102347}"/>
    <cellStyle name="Input 11" xfId="2051" xr:uid="{739A5304-DAFE-46C3-94A0-06AF22A98795}"/>
    <cellStyle name="Input 11 2" xfId="2052" xr:uid="{04D6560D-376B-4F2A-8FC6-C8E7C1E16999}"/>
    <cellStyle name="Input 11 2 2" xfId="2053" xr:uid="{A87DCF20-D75A-4828-AAD9-8C112CD673E9}"/>
    <cellStyle name="Input 11 2 3" xfId="2054" xr:uid="{3922F960-0276-40BF-99BC-BB319CC355CB}"/>
    <cellStyle name="Input 11 2 4" xfId="2055" xr:uid="{1CDEFA18-2102-407E-8DEF-D9338FEDD5AF}"/>
    <cellStyle name="Input 11 2 5" xfId="2056" xr:uid="{F9AAB8AD-B3BA-4CD7-B85B-12FAA59563EB}"/>
    <cellStyle name="Input 11 3" xfId="2057" xr:uid="{AE8D58B9-28A5-4007-BB7D-A7771E088EAB}"/>
    <cellStyle name="Input 11 3 2" xfId="2058" xr:uid="{B87B8528-3E35-4DF5-91DF-12C3AEC49A86}"/>
    <cellStyle name="Input 11 3 3" xfId="2059" xr:uid="{96488BA0-3567-4CCA-8D0D-DA787EF1D234}"/>
    <cellStyle name="Input 11 3 4" xfId="2060" xr:uid="{CE54AF57-2D41-4366-A627-A65BDC9E526C}"/>
    <cellStyle name="Input 11 3 5" xfId="2061" xr:uid="{EF58FA9D-E6F2-4CAC-A7A5-6B414BEC5577}"/>
    <cellStyle name="Input 11 4" xfId="2062" xr:uid="{649CDA95-B4E9-4CB6-AF26-8933C3611AC9}"/>
    <cellStyle name="Input 11 5" xfId="2063" xr:uid="{09E56B79-2C2D-42D9-8EE7-5062198A534B}"/>
    <cellStyle name="Input 11 6" xfId="2064" xr:uid="{BA92C02F-8D86-485F-A6D0-DA060EEA09AF}"/>
    <cellStyle name="Input 11 7" xfId="2065" xr:uid="{6B48EC11-D1B8-4168-9BA3-307318EA4E72}"/>
    <cellStyle name="Input 12" xfId="2066" xr:uid="{AFEF4B3B-94B7-4E44-8926-E430678D7A27}"/>
    <cellStyle name="Input 12 2" xfId="2067" xr:uid="{64AA6D1D-CB7A-478E-BF2D-C2AB00978D9B}"/>
    <cellStyle name="Input 12 2 2" xfId="2068" xr:uid="{8C2CB9BA-D572-41DF-B67F-16D4298E0802}"/>
    <cellStyle name="Input 12 2 3" xfId="2069" xr:uid="{F4F110EE-D5CA-41A4-A25D-CEF209A09795}"/>
    <cellStyle name="Input 12 2 4" xfId="2070" xr:uid="{9DA9231A-A91D-44C1-8F3A-A3A15DD9CA53}"/>
    <cellStyle name="Input 12 2 5" xfId="2071" xr:uid="{331175F2-CD27-4E65-AD45-DF4507FF6376}"/>
    <cellStyle name="Input 12 3" xfId="2072" xr:uid="{3AA001EB-DBEE-4896-B6BD-A47182C4FAF7}"/>
    <cellStyle name="Input 12 3 2" xfId="2073" xr:uid="{B465D996-437A-4CAF-AA52-21735A03317E}"/>
    <cellStyle name="Input 12 3 3" xfId="2074" xr:uid="{1EDE4C82-EF35-48C0-A7A4-708790361335}"/>
    <cellStyle name="Input 12 3 4" xfId="2075" xr:uid="{B5C7D4A0-0033-4B3D-8BBE-0DC26CCE2859}"/>
    <cellStyle name="Input 12 3 5" xfId="2076" xr:uid="{A184BC87-F27F-47D7-888D-FFEA0F916176}"/>
    <cellStyle name="Input 12 4" xfId="2077" xr:uid="{437ECA12-D79B-4494-B690-51B0A516A5B5}"/>
    <cellStyle name="Input 12 5" xfId="2078" xr:uid="{7D9D3099-CB06-4CE4-BEE8-921627937AA5}"/>
    <cellStyle name="Input 12 6" xfId="2079" xr:uid="{38ED1FD1-D4CC-41EF-8865-2BADB440AD8F}"/>
    <cellStyle name="Input 12 7" xfId="2080" xr:uid="{BA5EC800-63FC-4DF5-957F-A61663340B5C}"/>
    <cellStyle name="Input 13" xfId="2081" xr:uid="{7C1ECFC9-23A2-4F7E-8EFE-8EC90FEE0D4C}"/>
    <cellStyle name="Input 13 2" xfId="2082" xr:uid="{8DCC418D-7A42-4709-AC49-DA17CF3F7E9F}"/>
    <cellStyle name="Input 13 2 2" xfId="2083" xr:uid="{825B58B8-43A2-4A94-8715-D1BA82020D42}"/>
    <cellStyle name="Input 13 2 3" xfId="2084" xr:uid="{3926D195-1DAF-47E6-9A5C-61AB29F0619E}"/>
    <cellStyle name="Input 13 2 4" xfId="2085" xr:uid="{678D3D00-1471-42C9-A00D-6D8FDF0A0342}"/>
    <cellStyle name="Input 13 2 5" xfId="2086" xr:uid="{048EB24C-6E74-4033-A205-8A2C733A1BD0}"/>
    <cellStyle name="Input 13 3" xfId="2087" xr:uid="{4FB5B617-F277-4310-AD76-AC65C6ACED47}"/>
    <cellStyle name="Input 13 3 2" xfId="2088" xr:uid="{F0766D88-D340-4E63-B73E-11374710386E}"/>
    <cellStyle name="Input 13 3 3" xfId="2089" xr:uid="{8345B519-BD69-414B-A59D-291E9C9BE821}"/>
    <cellStyle name="Input 13 3 4" xfId="2090" xr:uid="{13803610-3F34-498B-B733-D46CB618C44D}"/>
    <cellStyle name="Input 13 3 5" xfId="2091" xr:uid="{EC0234DD-9A2B-45EA-AF2D-4FDB65C5CFC5}"/>
    <cellStyle name="Input 13 4" xfId="2092" xr:uid="{78F03731-25B8-46DB-94BA-7561192482CF}"/>
    <cellStyle name="Input 13 5" xfId="2093" xr:uid="{D5CADBE5-513E-40A3-BAE5-CA7ED9328D23}"/>
    <cellStyle name="Input 13 6" xfId="2094" xr:uid="{76879CE5-29C4-4725-ADEB-D9D58BEA301E}"/>
    <cellStyle name="Input 13 7" xfId="2095" xr:uid="{E6B06E77-6DAE-4745-8032-E3552B0DD2CE}"/>
    <cellStyle name="Input 14" xfId="2096" xr:uid="{0D23B2DB-3ECF-4AF3-BED4-9871CCC2BC31}"/>
    <cellStyle name="Input 14 2" xfId="2097" xr:uid="{2551D443-EC64-4BF2-973E-566B1E7B5B4A}"/>
    <cellStyle name="Input 14 3" xfId="2098" xr:uid="{0A97544B-49E3-4BFF-ACFB-DEA533E7B52C}"/>
    <cellStyle name="Input 14 4" xfId="2099" xr:uid="{747498D2-F82C-4A93-84A6-A37E89C4A833}"/>
    <cellStyle name="Input 14 5" xfId="2100" xr:uid="{180CD222-ACAF-4371-AA1C-07681AF71519}"/>
    <cellStyle name="Input 15" xfId="2101" xr:uid="{0BC89DBF-7CFE-45B8-891B-99EC6644C585}"/>
    <cellStyle name="Input 15 2" xfId="2102" xr:uid="{64A58AF2-77DC-4295-A5B0-1034171B8C1F}"/>
    <cellStyle name="Input 15 3" xfId="2103" xr:uid="{59B4EF8B-B4E0-4F73-AC84-5E15418B9AB2}"/>
    <cellStyle name="Input 15 4" xfId="2104" xr:uid="{255DA06F-9FF5-427B-BA3B-FB2DFD8B1480}"/>
    <cellStyle name="Input 15 5" xfId="2105" xr:uid="{4DE2751C-0401-42C0-9129-5865E880F979}"/>
    <cellStyle name="Input 16" xfId="3806" xr:uid="{50189395-464A-4693-B632-8CECA86D1B79}"/>
    <cellStyle name="Input 17" xfId="3812" xr:uid="{D064BB56-CECE-450B-8A43-DD96B8CD0AB4}"/>
    <cellStyle name="Input 18" xfId="3817" xr:uid="{E210BFBA-BDA8-45A2-B52E-CC6588C832BE}"/>
    <cellStyle name="Input 2" xfId="2106" xr:uid="{D6CE14D1-B65C-46EB-88EB-123399A79895}"/>
    <cellStyle name="Input 2 2" xfId="2107" xr:uid="{6CC2271E-80E1-447B-B3CF-78E8FB90CEF6}"/>
    <cellStyle name="Input 2 2 2" xfId="2108" xr:uid="{4C05D1D1-6156-45AC-BA4D-5E1D12738DB4}"/>
    <cellStyle name="Input 2 2 2 2" xfId="2109" xr:uid="{9DC39252-F23B-4DC8-ABC3-FCFFB0ECD164}"/>
    <cellStyle name="Input 2 2 2 3" xfId="2110" xr:uid="{A4587E9A-5C89-4A00-9B61-7C099EB718FE}"/>
    <cellStyle name="Input 2 2 2 4" xfId="2111" xr:uid="{9389C0FC-FCE8-4B56-AB5B-4713BC062088}"/>
    <cellStyle name="Input 2 2 2 5" xfId="2112" xr:uid="{F67B576D-AB90-4AA8-8FF1-5B753DC7F16F}"/>
    <cellStyle name="Input 2 2 3" xfId="2113" xr:uid="{5ACDDA93-9F04-4219-9E40-51E5350F1525}"/>
    <cellStyle name="Input 2 2 3 2" xfId="2114" xr:uid="{E79A2862-B6C6-4CDA-8551-98588448073E}"/>
    <cellStyle name="Input 2 2 3 3" xfId="2115" xr:uid="{F989FC8C-A68B-4F5A-A3AF-AEA7E86E8BA5}"/>
    <cellStyle name="Input 2 2 3 4" xfId="2116" xr:uid="{F3B0817F-6B83-4E4D-94EC-949F71959920}"/>
    <cellStyle name="Input 2 2 3 5" xfId="2117" xr:uid="{2419241C-9A6B-460B-94F4-68215BB85728}"/>
    <cellStyle name="Input 2 2 4" xfId="2118" xr:uid="{221CEAE5-4763-4D55-8D8B-056BD1E5CD2D}"/>
    <cellStyle name="Input 2 2 5" xfId="2119" xr:uid="{944C16F7-6CAC-4D28-9982-5CC93EB630F3}"/>
    <cellStyle name="Input 2 2 6" xfId="2120" xr:uid="{CF85A9D4-578C-48F8-9723-26E288E14E35}"/>
    <cellStyle name="Input 2 2 7" xfId="2121" xr:uid="{9CA737EE-F208-4C81-A15D-E1563148FF95}"/>
    <cellStyle name="Input 2 3" xfId="2122" xr:uid="{5B2F5298-1F04-46B0-94BF-B977EDF99A4F}"/>
    <cellStyle name="Input 2 3 2" xfId="2123" xr:uid="{2201F9CA-76E6-49B2-86CE-F55C47457837}"/>
    <cellStyle name="Input 2 3 3" xfId="2124" xr:uid="{3EDA9D60-6439-4C99-A3EF-D26E0F417D68}"/>
    <cellStyle name="Input 2 3 4" xfId="2125" xr:uid="{8ED87AFB-165C-4112-B673-A102D9AA63E5}"/>
    <cellStyle name="Input 2 3 5" xfId="2126" xr:uid="{3743F92E-5F18-444E-BDDB-7077B670547F}"/>
    <cellStyle name="Input 2 4" xfId="2127" xr:uid="{2CBEFF96-B783-4F45-B4DC-FC41D57EFC53}"/>
    <cellStyle name="Input 2 4 2" xfId="2128" xr:uid="{A72A6004-A145-48C9-B4D3-9141A0E9EE3F}"/>
    <cellStyle name="Input 2 4 3" xfId="2129" xr:uid="{DD5A9890-80CA-45AD-8497-063574434DED}"/>
    <cellStyle name="Input 2 4 4" xfId="2130" xr:uid="{97057802-1B44-437E-B149-D910BFAC229E}"/>
    <cellStyle name="Input 2 4 5" xfId="2131" xr:uid="{42E90CAE-DAF3-405E-8696-7FC093CC8DCD}"/>
    <cellStyle name="Input 2 5" xfId="2132" xr:uid="{93526E8C-36CA-44D8-A3B8-8053C2F3BB00}"/>
    <cellStyle name="Input 2 6" xfId="2133" xr:uid="{6232F7C7-8F79-4834-9F17-3C4BABC296DA}"/>
    <cellStyle name="Input 2 7" xfId="2134" xr:uid="{CF6A0358-BB85-4E44-B33F-38FB1E2BCFCE}"/>
    <cellStyle name="Input 2 8" xfId="2135" xr:uid="{5E348EC1-3653-4E43-8377-9494EF775EF9}"/>
    <cellStyle name="Input 2_2.Control Points-Prabu-2012-13" xfId="2136" xr:uid="{0D2B20A9-974A-4F25-A26B-D083A2362018}"/>
    <cellStyle name="Input 3" xfId="2137" xr:uid="{9F6B9C50-2C7C-479D-9568-A3443EB71DC5}"/>
    <cellStyle name="Input 3 2" xfId="2138" xr:uid="{70996C04-C3C7-46A5-98FA-6C71175328C5}"/>
    <cellStyle name="Input 3 2 2" xfId="2139" xr:uid="{52D460A9-090B-4B5A-B78F-5E4C63F933FB}"/>
    <cellStyle name="Input 3 2 3" xfId="2140" xr:uid="{41704D34-8A09-4A9E-8CB9-0927537CBFFA}"/>
    <cellStyle name="Input 3 2 4" xfId="2141" xr:uid="{6D28B6DD-3B1D-48D8-A840-791174F13FDB}"/>
    <cellStyle name="Input 3 2 5" xfId="2142" xr:uid="{A17B9DE7-2FD1-44BC-B5AA-824D95676FBF}"/>
    <cellStyle name="Input 3 3" xfId="2143" xr:uid="{757AA827-A17D-431C-9204-5BA3119BC3EE}"/>
    <cellStyle name="Input 3 3 2" xfId="2144" xr:uid="{0E43C907-6FB7-4640-AD4E-B64950A80D79}"/>
    <cellStyle name="Input 3 3 3" xfId="2145" xr:uid="{C2465619-DF12-4ECA-81F0-6530D7832D32}"/>
    <cellStyle name="Input 3 3 4" xfId="2146" xr:uid="{810091F9-226B-42A1-99DC-1540AF34FD97}"/>
    <cellStyle name="Input 3 3 5" xfId="2147" xr:uid="{808C2C92-947B-4E13-9759-EDD25CECE587}"/>
    <cellStyle name="Input 3 4" xfId="2148" xr:uid="{E201A2F7-6E9F-4461-A185-6F877A378F5B}"/>
    <cellStyle name="Input 3 5" xfId="2149" xr:uid="{4C2DDFF4-5CE1-46D0-A641-8949C50E1378}"/>
    <cellStyle name="Input 3 6" xfId="2150" xr:uid="{22B86123-6566-479C-A9F8-68802F92EA86}"/>
    <cellStyle name="Input 3 7" xfId="2151" xr:uid="{BBC5CCA1-C1F0-49EF-9D53-6BE38238943A}"/>
    <cellStyle name="Input 4" xfId="2152" xr:uid="{B4593154-EF25-4FAA-A4B6-51B63940F29A}"/>
    <cellStyle name="Input 4 2" xfId="2153" xr:uid="{D060B2F3-C5A1-45F6-8320-465CF1A498B7}"/>
    <cellStyle name="Input 4 2 2" xfId="2154" xr:uid="{41BF80AC-9116-4C9C-899C-9A819C2FF8BC}"/>
    <cellStyle name="Input 4 2 3" xfId="2155" xr:uid="{8EE5A028-3FAA-468F-B8CD-0C1C25D622C7}"/>
    <cellStyle name="Input 4 2 4" xfId="2156" xr:uid="{3A41B162-114E-4E5E-82D9-34AAC653B977}"/>
    <cellStyle name="Input 4 2 5" xfId="2157" xr:uid="{F1A256A8-3D28-4711-B042-0CAEB25B3126}"/>
    <cellStyle name="Input 4 3" xfId="2158" xr:uid="{A1D9F640-2A3D-4675-AE0B-35C17495DCB4}"/>
    <cellStyle name="Input 4 3 2" xfId="2159" xr:uid="{1B24EF5B-84D6-4367-BACE-E302E1FBCECD}"/>
    <cellStyle name="Input 4 3 3" xfId="2160" xr:uid="{D947CF88-235B-4E5A-8183-18EFB89F507A}"/>
    <cellStyle name="Input 4 3 4" xfId="2161" xr:uid="{2BF0B3AC-74AD-4712-B789-38FEA46F4A1D}"/>
    <cellStyle name="Input 4 3 5" xfId="2162" xr:uid="{CBF512C2-A4CD-4325-8662-9865CDD1009A}"/>
    <cellStyle name="Input 4 4" xfId="2163" xr:uid="{65351458-D49A-401E-AF0E-0CA556192247}"/>
    <cellStyle name="Input 4 5" xfId="2164" xr:uid="{84C32C1E-1B98-4841-AF2A-66B505791CC7}"/>
    <cellStyle name="Input 4 6" xfId="2165" xr:uid="{B5E3C33F-1CDA-4A03-A029-526D8F431700}"/>
    <cellStyle name="Input 4 7" xfId="2166" xr:uid="{87206434-A10B-48A2-9E44-AA0604300272}"/>
    <cellStyle name="Input 5" xfId="2167" xr:uid="{897B9730-3C66-4B43-8402-9322807828BB}"/>
    <cellStyle name="Input 5 2" xfId="2168" xr:uid="{3A285ED8-6653-4B5F-B35E-AC15999B57F9}"/>
    <cellStyle name="Input 5 2 2" xfId="2169" xr:uid="{1849BF97-C356-4E95-8158-D5C032A2CF21}"/>
    <cellStyle name="Input 5 2 3" xfId="2170" xr:uid="{93EB90AC-3FAE-4DE4-AF7B-B3F30DBDD7C7}"/>
    <cellStyle name="Input 5 2 4" xfId="2171" xr:uid="{16106FB0-13F6-498C-829F-DDE0346B8D29}"/>
    <cellStyle name="Input 5 2 5" xfId="2172" xr:uid="{A682C158-EC91-44D5-9C54-461A61E23956}"/>
    <cellStyle name="Input 5 3" xfId="2173" xr:uid="{C6D7BE01-B983-4AF9-A846-557D03CBAE74}"/>
    <cellStyle name="Input 5 3 2" xfId="2174" xr:uid="{FBCB43DB-69E8-48A7-AC25-0724C95139F4}"/>
    <cellStyle name="Input 5 3 3" xfId="2175" xr:uid="{F91AB3FC-896C-4E4B-BB96-C4E9657DD165}"/>
    <cellStyle name="Input 5 3 4" xfId="2176" xr:uid="{0FAABFBC-D6CC-47EA-8636-E198C97C3FC0}"/>
    <cellStyle name="Input 5 3 5" xfId="2177" xr:uid="{A4161447-2DD5-481E-8EF0-F9AB4C62315D}"/>
    <cellStyle name="Input 5 4" xfId="2178" xr:uid="{FEB8A301-DC29-4E0A-BB09-4458E147105E}"/>
    <cellStyle name="Input 5 5" xfId="2179" xr:uid="{81672A5E-55B3-42F4-8359-C89576A43434}"/>
    <cellStyle name="Input 5 6" xfId="2180" xr:uid="{A733531B-F961-4C95-B893-EC19047725BF}"/>
    <cellStyle name="Input 5 7" xfId="2181" xr:uid="{A94A622D-7A7C-4307-9BDD-885F1C42E289}"/>
    <cellStyle name="Input 6" xfId="2182" xr:uid="{C8BAD2E3-53AF-4864-AAC5-A5B2EBA0254B}"/>
    <cellStyle name="Input 6 2" xfId="2183" xr:uid="{E28491C5-DBBB-49F2-BFB0-B0A206CCDCF5}"/>
    <cellStyle name="Input 6 2 2" xfId="2184" xr:uid="{0762AF33-07DD-45F1-82E1-4F0A0B70E9CB}"/>
    <cellStyle name="Input 6 2 3" xfId="2185" xr:uid="{089F361B-5502-48F2-A476-07FAB39D14FB}"/>
    <cellStyle name="Input 6 2 4" xfId="2186" xr:uid="{891703A8-3558-4477-A751-B47AFD083678}"/>
    <cellStyle name="Input 6 2 5" xfId="2187" xr:uid="{2C65BFE2-F1D7-4FBF-9D30-56325A30DF8F}"/>
    <cellStyle name="Input 6 3" xfId="2188" xr:uid="{EAB4AC31-AD6F-4682-8093-3790377486E9}"/>
    <cellStyle name="Input 6 3 2" xfId="2189" xr:uid="{23563A5B-3FE7-4880-B3EE-51EBF5062716}"/>
    <cellStyle name="Input 6 3 3" xfId="2190" xr:uid="{00B35DD3-10DC-42B8-9D1F-38679462AA0D}"/>
    <cellStyle name="Input 6 3 4" xfId="2191" xr:uid="{D93EEB02-5FDD-438E-80E0-908343FEF54D}"/>
    <cellStyle name="Input 6 3 5" xfId="2192" xr:uid="{B0A3B7C2-4663-4928-9756-70F938BAFDA3}"/>
    <cellStyle name="Input 6 4" xfId="2193" xr:uid="{21717569-22D9-48C9-A2A5-836033DD802E}"/>
    <cellStyle name="Input 6 5" xfId="2194" xr:uid="{F3264306-129C-413F-8730-083E41E0FCCB}"/>
    <cellStyle name="Input 6 6" xfId="2195" xr:uid="{B11CF9F5-2460-4FFE-A371-FC868BB04DB0}"/>
    <cellStyle name="Input 6 7" xfId="2196" xr:uid="{4DC60087-A8D3-40F1-993C-7AD0EF6E1101}"/>
    <cellStyle name="Input 7" xfId="2197" xr:uid="{8ECF7A59-692C-4721-8644-F90931E1564E}"/>
    <cellStyle name="Input 7 2" xfId="2198" xr:uid="{29BBD9F5-FFD3-4AEC-A9DC-6847A65584C8}"/>
    <cellStyle name="Input 7 2 2" xfId="2199" xr:uid="{2AAF3703-873D-44CC-BA2A-96157091B33F}"/>
    <cellStyle name="Input 7 2 3" xfId="2200" xr:uid="{94F3101B-0C88-4284-90D0-D67C32FDC88C}"/>
    <cellStyle name="Input 7 2 4" xfId="2201" xr:uid="{EDD79BF5-CAF6-4B08-AB50-3A22D20E54EE}"/>
    <cellStyle name="Input 7 2 5" xfId="2202" xr:uid="{A1DBD176-B810-4F53-A895-0FDFED704309}"/>
    <cellStyle name="Input 7 3" xfId="2203" xr:uid="{0652FDD4-9811-4B00-8E10-C312F6D7DB17}"/>
    <cellStyle name="Input 7 3 2" xfId="2204" xr:uid="{CF021083-308C-4FFC-98BF-7085371E61DC}"/>
    <cellStyle name="Input 7 3 3" xfId="2205" xr:uid="{F2EA888F-8031-4F37-820F-E43BC90CBD52}"/>
    <cellStyle name="Input 7 3 4" xfId="2206" xr:uid="{1F989976-7AFD-4A69-8495-E8F91FE8BA5B}"/>
    <cellStyle name="Input 7 3 5" xfId="2207" xr:uid="{45C6F670-9357-4602-8B94-061D4C9B6050}"/>
    <cellStyle name="Input 7 4" xfId="2208" xr:uid="{73A42E61-0ADA-46BB-B7BC-C6A61675366A}"/>
    <cellStyle name="Input 7 5" xfId="2209" xr:uid="{FBF52889-AB62-47EB-A82E-BB9DCBBAA131}"/>
    <cellStyle name="Input 7 6" xfId="2210" xr:uid="{6ECA0096-38EA-422B-98B9-0EA4048731D1}"/>
    <cellStyle name="Input 7 7" xfId="2211" xr:uid="{7DC7A881-6BEA-411D-A9C9-ADD988EF2E6D}"/>
    <cellStyle name="Input 8" xfId="2212" xr:uid="{B2673795-04B3-450A-8EBE-51AF56CC1925}"/>
    <cellStyle name="Input 8 2" xfId="2213" xr:uid="{B3D0B0D1-89BE-461D-8CD8-4F8990AC3D22}"/>
    <cellStyle name="Input 8 2 2" xfId="2214" xr:uid="{00253C5A-D0F5-427F-BE3A-DBFA409FBE4A}"/>
    <cellStyle name="Input 8 2 3" xfId="2215" xr:uid="{262163F9-AF3E-45E2-A68F-3C6AF695FF5B}"/>
    <cellStyle name="Input 8 2 4" xfId="2216" xr:uid="{65BBD19D-41E1-4E8A-8D45-7BF88E2BD862}"/>
    <cellStyle name="Input 8 2 5" xfId="2217" xr:uid="{34B7381C-C7CF-49A2-9F5A-C7B08698AEEC}"/>
    <cellStyle name="Input 8 3" xfId="2218" xr:uid="{1AC75237-056C-4778-9278-05D9CEB5F290}"/>
    <cellStyle name="Input 8 3 2" xfId="2219" xr:uid="{6DB82A03-57D1-43D0-8700-415921892F6C}"/>
    <cellStyle name="Input 8 3 3" xfId="2220" xr:uid="{EB2CD6E1-0498-44D4-A6DE-1B4D65BF2C6F}"/>
    <cellStyle name="Input 8 3 4" xfId="2221" xr:uid="{67E101CC-9EED-4963-964F-2EBACAE4379D}"/>
    <cellStyle name="Input 8 3 5" xfId="2222" xr:uid="{3CE5D4FA-819F-49E7-9470-BC42C1755C3D}"/>
    <cellStyle name="Input 8 4" xfId="2223" xr:uid="{CF3D9947-837E-4A81-AF5B-FE12C57A6819}"/>
    <cellStyle name="Input 8 5" xfId="2224" xr:uid="{DD5E72A3-F548-4DE6-B7A5-D717ED0AB488}"/>
    <cellStyle name="Input 8 6" xfId="2225" xr:uid="{C446E6BF-EA1C-4A41-8DCB-C6871577D330}"/>
    <cellStyle name="Input 8 7" xfId="2226" xr:uid="{6E5CBA8A-3717-4365-B125-F512A9169288}"/>
    <cellStyle name="Input 9" xfId="2227" xr:uid="{DBF40B1E-6850-47CC-B8D2-25738DB10367}"/>
    <cellStyle name="Input 9 2" xfId="2228" xr:uid="{EE368615-647D-4261-9104-7738F9BA2F00}"/>
    <cellStyle name="Input 9 2 2" xfId="2229" xr:uid="{FD15C6D3-89C7-41A1-BBC6-B5CEAC345A19}"/>
    <cellStyle name="Input 9 2 3" xfId="2230" xr:uid="{C0363F76-27CA-48AD-9022-F94989C296B5}"/>
    <cellStyle name="Input 9 2 4" xfId="2231" xr:uid="{427D7CE8-9E6B-4462-BDFB-23B061C7CE49}"/>
    <cellStyle name="Input 9 2 5" xfId="2232" xr:uid="{58D67351-A0CF-4409-BFC4-E5DB83787D54}"/>
    <cellStyle name="Input 9 3" xfId="2233" xr:uid="{20AE359E-C5A8-4CD3-80D7-EA8C7E14F5A1}"/>
    <cellStyle name="Input 9 3 2" xfId="2234" xr:uid="{EA6FDAD4-258E-455F-BE83-DEC80180D361}"/>
    <cellStyle name="Input 9 3 3" xfId="2235" xr:uid="{B6677871-F7A4-4987-AF08-424D970441A5}"/>
    <cellStyle name="Input 9 3 4" xfId="2236" xr:uid="{2796599A-250E-4C56-AE46-FF0BB5A50DC7}"/>
    <cellStyle name="Input 9 3 5" xfId="2237" xr:uid="{7D73BDE5-91E8-4692-9FD8-DC7D9712196C}"/>
    <cellStyle name="Input 9 4" xfId="2238" xr:uid="{9065A4D1-1C8D-4999-8D25-E94CEB76B094}"/>
    <cellStyle name="Input 9 5" xfId="2239" xr:uid="{05678D12-B5FA-4E34-AAB9-34C7B454F0AB}"/>
    <cellStyle name="Input 9 6" xfId="2240" xr:uid="{9BEA8EA6-7C9D-4C6C-BD9A-84224DFD6989}"/>
    <cellStyle name="Input 9 7" xfId="2241" xr:uid="{D17DE9B2-FA8B-493F-8C9D-F8E2BA310271}"/>
    <cellStyle name="Item_Current" xfId="2242" xr:uid="{9EA5F8B1-1B7A-4D2A-99BF-A7F4527FA183}"/>
    <cellStyle name="Komma0" xfId="2243" xr:uid="{31180323-3E6F-4608-80C4-E5D131EEE000}"/>
    <cellStyle name="kpk" xfId="2244" xr:uid="{EE618118-EC38-4CE2-BDC1-D78FC61AF6C2}"/>
    <cellStyle name="kpk 2" xfId="2245" xr:uid="{8535C7E3-64BF-4395-8A39-5E00574B32B3}"/>
    <cellStyle name="less" xfId="2246" xr:uid="{E825161B-43F2-4518-887E-79C003087604}"/>
    <cellStyle name="less 2" xfId="2247" xr:uid="{FD4A3C51-D12F-45BB-925C-DEBE73D3FA51}"/>
    <cellStyle name="Link Currency (0)" xfId="2248" xr:uid="{93A55DE9-7890-4071-9948-B536B3F722B7}"/>
    <cellStyle name="Link Currency (0) 2" xfId="2249" xr:uid="{81B1599D-04A2-4816-9933-0C3A299F4592}"/>
    <cellStyle name="Link Currency (0)_Capital per unit 23.12.15 " xfId="2250" xr:uid="{6B96153A-130A-46FD-A1AA-73CB5404FFC5}"/>
    <cellStyle name="Link Currency (2)" xfId="2251" xr:uid="{62BBD9AE-28ED-4B11-B3D5-9BCA49BF1219}"/>
    <cellStyle name="Link Currency (2) 2" xfId="2252" xr:uid="{D60335B6-63B0-403A-A96A-786AEA3F1ADB}"/>
    <cellStyle name="Link Units (0)" xfId="2253" xr:uid="{4EF812F4-7B30-4C3C-A5A8-44AE6961ACF2}"/>
    <cellStyle name="Link Units (0) 2" xfId="2254" xr:uid="{4D3116E0-929E-45C1-8A36-54269A86A061}"/>
    <cellStyle name="Link Units (0)_Capital per unit 23.12.15 " xfId="2255" xr:uid="{95EEF7AF-644C-4D0A-9DAF-6F0B6F947C66}"/>
    <cellStyle name="Link Units (1)" xfId="2256" xr:uid="{9B163EDF-143B-4CD4-91E6-F86FAA0902A3}"/>
    <cellStyle name="Link Units (1) 2" xfId="2257" xr:uid="{CFA4766B-78C1-489B-87BA-27D1E29CC376}"/>
    <cellStyle name="Link Units (2)" xfId="2258" xr:uid="{BEB61949-4CFF-43E4-950F-699CE87B4FF7}"/>
    <cellStyle name="Link Units (2) 2" xfId="2259" xr:uid="{0D1D0DA2-1171-4AEF-906F-1F5331934E73}"/>
    <cellStyle name="Linked Cell 10" xfId="2260" xr:uid="{1F5A5DBD-5835-4F33-B80E-506CF63A418E}"/>
    <cellStyle name="Linked Cell 11" xfId="2261" xr:uid="{C010BAF0-D4D7-4103-90ED-66D1D655E3C3}"/>
    <cellStyle name="Linked Cell 12" xfId="2262" xr:uid="{03EFFF16-ECE6-4A2F-B710-DEBC3D15A0F5}"/>
    <cellStyle name="Linked Cell 13" xfId="2263" xr:uid="{38DEF566-162E-4343-8AEF-D2EBBC045B23}"/>
    <cellStyle name="Linked Cell 14" xfId="2264" xr:uid="{9C62F6F1-35F5-481D-87F3-9FAD40BC0A74}"/>
    <cellStyle name="Linked Cell 2" xfId="2265" xr:uid="{A592C3E9-2F81-472E-903E-08891CCDC4CE}"/>
    <cellStyle name="Linked Cell 2 2" xfId="2266" xr:uid="{AACFA224-6562-40FF-8B86-037CCD890202}"/>
    <cellStyle name="Linked Cell 2_2.Control Points-Prabu-2012-13" xfId="2267" xr:uid="{34EF6BF5-1604-4C49-B144-FC21F32778DC}"/>
    <cellStyle name="Linked Cell 3" xfId="2268" xr:uid="{85A8B9D8-0943-49C3-94C7-7FA3810A1FF3}"/>
    <cellStyle name="Linked Cell 4" xfId="2269" xr:uid="{2DC8F1BC-C589-4DCA-A8A0-C8BB98F3B66B}"/>
    <cellStyle name="Linked Cell 5" xfId="2270" xr:uid="{4501B233-32C7-4FE4-BF40-F20D2AA390FA}"/>
    <cellStyle name="Linked Cell 6" xfId="2271" xr:uid="{9789DE19-504E-4E32-B51A-ED4CF02F2EEC}"/>
    <cellStyle name="Linked Cell 7" xfId="2272" xr:uid="{4C48086A-0F08-498E-82B2-C1541EA64DB2}"/>
    <cellStyle name="Linked Cell 8" xfId="2273" xr:uid="{91F459E5-C17C-4C07-BA43-9E87DDBD5DA4}"/>
    <cellStyle name="Linked Cell 9" xfId="2274" xr:uid="{B53053C7-6CAE-48CC-A3BE-8F9F357DA9B1}"/>
    <cellStyle name="Market Segment" xfId="2275" xr:uid="{E8E39976-B9CA-4061-81F2-7BA5C9FDED18}"/>
    <cellStyle name="Market Segment 2" xfId="2276" xr:uid="{66673CDE-9DDF-40B3-A4B0-3C6997F0A97D}"/>
    <cellStyle name="Market Segment 3" xfId="2277" xr:uid="{55B522B8-CB63-49A0-B859-97EE81711600}"/>
    <cellStyle name="Market Segment 4" xfId="2278" xr:uid="{2DED5FDC-0D8F-49C8-84EE-FDF8D6831774}"/>
    <cellStyle name="Market Segment 5" xfId="2279" xr:uid="{CAD47595-319F-4090-A2AD-BBCB94FDAF01}"/>
    <cellStyle name="Menu Bar" xfId="2280" xr:uid="{AB9ED0A5-0D1A-4235-B850-6B007772A438}"/>
    <cellStyle name="Millares [0]_!!!GO" xfId="2281" xr:uid="{3F0D6064-BC40-4C2C-8EEB-21521A7DD2BB}"/>
    <cellStyle name="Millares_!!!GO" xfId="2282" xr:uid="{1E4C74AA-5731-4170-9B0A-6D331778757B}"/>
    <cellStyle name="Milliers [0]_!!!GO" xfId="2283" xr:uid="{5D36EB30-E7B0-4CE4-8615-C4057C5E3827}"/>
    <cellStyle name="Milliers_!!!GO" xfId="2284" xr:uid="{5EA7D1AC-CE42-4300-8CB9-A0DFA2B8DE23}"/>
    <cellStyle name="Model" xfId="2285" xr:uid="{9661BA4C-9A2E-498E-B321-CA779FC74949}"/>
    <cellStyle name="Model 2" xfId="2286" xr:uid="{B0486292-3BE7-4C2F-A8EE-AA973EE25F8B}"/>
    <cellStyle name="Model 2 2" xfId="2287" xr:uid="{02F0404B-8319-4D64-9B4D-57EACAB43391}"/>
    <cellStyle name="Model 3" xfId="2288" xr:uid="{ED419358-CF17-4560-9362-B773FF4A32B7}"/>
    <cellStyle name="Model_Action plan - Tank" xfId="2289" xr:uid="{E87EE2EB-3C9C-40E5-9714-54B64595397E}"/>
    <cellStyle name="Moeda [0]_laroux" xfId="2290" xr:uid="{6E18C4AD-6B27-4D58-9B92-D2D6B6465553}"/>
    <cellStyle name="Moeda_CW170_8" xfId="2291" xr:uid="{9034948B-A169-43D9-844D-459139480521}"/>
    <cellStyle name="Moneda [0]_!!!GO" xfId="2292" xr:uid="{79338429-385C-4CDB-8C0A-CDD05A342F98}"/>
    <cellStyle name="Moneda_!!!GO" xfId="2293" xr:uid="{6F0B40E6-242D-4E7A-A7D9-3F6832CC80B0}"/>
    <cellStyle name="Monétaire [0]_!!!GO" xfId="2294" xr:uid="{98AFAC6F-C084-467C-9FD6-B5BD9A437A4A}"/>
    <cellStyle name="Monétaire_!!!GO" xfId="2295" xr:uid="{48177A01-C872-466A-B7B5-259ECB3A52B1}"/>
    <cellStyle name="nan" xfId="2296" xr:uid="{C527BD86-4EBD-41D0-939F-CC96C94A42AE}"/>
    <cellStyle name="nan 2" xfId="2297" xr:uid="{3CE0ABC7-26F0-4BBA-82B5-26B604851945}"/>
    <cellStyle name="nan 3" xfId="2298" xr:uid="{047E4CB2-8396-4AC4-AC26-4498AEE52D9B}"/>
    <cellStyle name="Neutral 10" xfId="2299" xr:uid="{46646776-072C-4881-85FD-6FD9BAFF6B72}"/>
    <cellStyle name="Neutral 10 2" xfId="2300" xr:uid="{1B1E3693-2114-4FBB-BE81-B07861CCB8F1}"/>
    <cellStyle name="Neutral 11" xfId="2301" xr:uid="{EA17FA8D-1CAA-4497-B2BD-5B8331EEF7E0}"/>
    <cellStyle name="Neutral 11 2" xfId="2302" xr:uid="{B610BE70-C4D7-4D3E-96CA-BE38AE82EB02}"/>
    <cellStyle name="Neutral 12" xfId="2303" xr:uid="{40B569CA-99FF-49C9-9988-2F98C84C8043}"/>
    <cellStyle name="Neutral 12 2" xfId="2304" xr:uid="{922AD735-1D56-4A7F-9969-E28213AFCB99}"/>
    <cellStyle name="Neutral 13" xfId="2305" xr:uid="{079A1C55-D83B-4AF6-8E4C-05B34B90DA47}"/>
    <cellStyle name="Neutral 13 2" xfId="2306" xr:uid="{37F823C3-1729-4AC9-BD81-A8B83511F86D}"/>
    <cellStyle name="Neutral 14" xfId="2307" xr:uid="{0398288E-139C-4DCA-A167-602D85B18418}"/>
    <cellStyle name="Neutral 2" xfId="2308" xr:uid="{6D5CFBFF-712E-403D-9EA7-C990A8F1FAD5}"/>
    <cellStyle name="Neutral 2 2" xfId="2309" xr:uid="{92D74589-AF21-458F-A768-96647DE223DE}"/>
    <cellStyle name="Neutral 2_2012" xfId="2310" xr:uid="{B1C7AFB5-90EB-49A6-8C62-076F774272A5}"/>
    <cellStyle name="Neutral 3" xfId="2311" xr:uid="{C332876E-FE2A-48CC-AC9B-96922CFA6FB2}"/>
    <cellStyle name="Neutral 3 2" xfId="2312" xr:uid="{E4BF97B7-031E-47BD-A908-051D1A1A46B2}"/>
    <cellStyle name="Neutral 4" xfId="2313" xr:uid="{DE727824-487F-4D1F-AED3-6A0D220C00E5}"/>
    <cellStyle name="Neutral 4 2" xfId="2314" xr:uid="{AF2EA6E5-0077-4447-9F56-8D03B5A4D20C}"/>
    <cellStyle name="Neutral 5" xfId="2315" xr:uid="{84239B20-B723-4C78-A1C6-BE5868F3013C}"/>
    <cellStyle name="Neutral 5 2" xfId="2316" xr:uid="{BF430934-1E28-4A09-AA9D-9F00AB8A1EBF}"/>
    <cellStyle name="Neutral 6" xfId="2317" xr:uid="{8129C474-6F76-49BC-8FF4-7FB27F57B380}"/>
    <cellStyle name="Neutral 6 2" xfId="2318" xr:uid="{1B8695C8-F15C-44A3-A8EB-DE7E673ECF9A}"/>
    <cellStyle name="Neutral 7" xfId="2319" xr:uid="{46883A0E-4161-4C46-B67F-3746312196FC}"/>
    <cellStyle name="Neutral 7 2" xfId="2320" xr:uid="{97702232-AA41-411A-9608-42973076CC61}"/>
    <cellStyle name="Neutral 8" xfId="2321" xr:uid="{F2BAAF38-D3E6-46AE-9C7B-D38A1B19144B}"/>
    <cellStyle name="Neutral 8 2" xfId="2322" xr:uid="{0FA55E0E-E286-46D8-95B5-4F6DDDE1420A}"/>
    <cellStyle name="Neutral 9" xfId="2323" xr:uid="{68630C78-9F7A-47F0-84BD-8A810D59E164}"/>
    <cellStyle name="Neutral 9 2" xfId="2324" xr:uid="{A2C03C3F-CB0E-411A-96FB-3630876950BD}"/>
    <cellStyle name="New Times Roman" xfId="2325" xr:uid="{FD3E0FBA-515F-494C-AEC1-FAA029BAE3EB}"/>
    <cellStyle name="New Times Roman 2" xfId="2326" xr:uid="{B93D9170-1421-4E07-9CD3-2F2CF804189E}"/>
    <cellStyle name="no dec" xfId="2327" xr:uid="{A21B5E95-9B0B-474D-AE2B-A5AB62204283}"/>
    <cellStyle name="Normal" xfId="0" builtinId="0"/>
    <cellStyle name="Normal - Style1" xfId="2328" xr:uid="{13D6D166-2017-41C7-8C03-54515CFAFD92}"/>
    <cellStyle name="Normal - Style1 2" xfId="2329" xr:uid="{88050026-35BD-4668-A3BE-037B4D93E054}"/>
    <cellStyle name="Normal - Style1 3" xfId="2330" xr:uid="{143CD417-5981-45C3-B234-D8B3D959A34B}"/>
    <cellStyle name="Normal - Style1_5s Layered Audit Check sheet (2)" xfId="2331" xr:uid="{0EB8F8E0-B234-447B-BB9A-3BA4491F9A9C}"/>
    <cellStyle name="Normal - Style5" xfId="2332" xr:uid="{287C7040-9BF1-481C-95A1-1AFD979E4157}"/>
    <cellStyle name="Normal - Style5 2" xfId="2333" xr:uid="{C64065DC-4961-421D-97AC-3094CD57C0EC}"/>
    <cellStyle name="Normal - Style5_Book1" xfId="2334" xr:uid="{FC9CB04B-6629-45D8-B11A-B31B5F033BBA}"/>
    <cellStyle name="Normal - スタイル1" xfId="2335" xr:uid="{17992C39-8B1D-412B-B2E3-2010BCA655CC}"/>
    <cellStyle name="Normal - スタイル2" xfId="2336" xr:uid="{DF63B8CC-A8CC-458D-A44E-CAA7C4D8E416}"/>
    <cellStyle name="Normal - スタイル3" xfId="2337" xr:uid="{FA14BCD1-076A-43B9-A9BA-43A21CF8FDBE}"/>
    <cellStyle name="Normal - スタイル4" xfId="2338" xr:uid="{078BC8FD-5D49-4197-B9BF-A306B91DF1A7}"/>
    <cellStyle name="Normal - スタイル5" xfId="2339" xr:uid="{C1884453-B496-4394-8CF3-087341FD0BE0}"/>
    <cellStyle name="Normal - スタイル6" xfId="2340" xr:uid="{82EDEBDA-00F2-4A0E-87B6-118312432DA9}"/>
    <cellStyle name="Normal - スタイル7" xfId="2341" xr:uid="{74532F9A-5691-46C6-8CD1-C689FCC0303A}"/>
    <cellStyle name="Normal - スタイル8" xfId="2342" xr:uid="{C3F7FEF0-50B3-451A-9417-A28ED088FD12}"/>
    <cellStyle name="Normal 10" xfId="2343" xr:uid="{1C11FA2E-C1D7-4BB4-954A-79B9B531F3D8}"/>
    <cellStyle name="Normal 10 2" xfId="2344" xr:uid="{4A56135C-6037-45CF-8D4B-25BFC87595CB}"/>
    <cellStyle name="Normal 10 2 2" xfId="2345" xr:uid="{886F4EB9-73AC-430C-89FD-2E96327BB831}"/>
    <cellStyle name="Normal 10 2 2 2" xfId="2346" xr:uid="{B557120E-54B4-4098-8CB2-F87959C686B5}"/>
    <cellStyle name="Normal 10 2 2 2 2" xfId="2347" xr:uid="{F43CDEE7-39E5-452D-92B5-988CB1AC8671}"/>
    <cellStyle name="Normal 10 2 2 2 2 2" xfId="2348" xr:uid="{3E04169F-80C0-4052-9F00-F3DE1874BC9B}"/>
    <cellStyle name="Normal 10 2 2 2 2_16-17" xfId="2349" xr:uid="{5662A601-F15A-4190-B0E8-AEFD2687B1E3}"/>
    <cellStyle name="Normal 10 2 2 2_16-17" xfId="2350" xr:uid="{4A307590-A583-4EDB-8262-A09E3E1787AD}"/>
    <cellStyle name="Normal 10 2 2 3" xfId="2351" xr:uid="{3254B609-8D79-44B3-A9E3-E2C3E8C640AA}"/>
    <cellStyle name="Normal 10 2 2_16-17" xfId="2352" xr:uid="{130F56CA-18A2-4251-A1D8-017AF5949FCB}"/>
    <cellStyle name="Normal 10 2 3" xfId="2353" xr:uid="{6E97FA24-7142-4CBE-A489-FE50A50EF902}"/>
    <cellStyle name="Normal 10 2_16-17" xfId="2354" xr:uid="{4CF50A65-31D9-4638-A559-29219B031007}"/>
    <cellStyle name="Normal 10 3" xfId="2355" xr:uid="{1516D067-6ECA-4ABE-A212-0CFA227F866F}"/>
    <cellStyle name="Normal 10 3 2" xfId="2356" xr:uid="{F2BC37DA-40A4-49C6-B286-3CA28EF5F843}"/>
    <cellStyle name="Normal 10 3 2 2" xfId="2357" xr:uid="{F0F19E5A-459A-447B-8998-8D5D0E108178}"/>
    <cellStyle name="Normal 10 3 2 2 2" xfId="2358" xr:uid="{76F2E7E3-BDEA-4AFB-92BD-1ECE832383D3}"/>
    <cellStyle name="Normal 10 3 2 2 2 2" xfId="2359" xr:uid="{B405E2D5-FE7A-4901-8CF0-5E60E682DC76}"/>
    <cellStyle name="Normal 10 3 2 2 2_16-17" xfId="2360" xr:uid="{202D27F5-02A6-43BC-BC25-E67FD9CE3258}"/>
    <cellStyle name="Normal 10 3 2 2_16-17" xfId="2361" xr:uid="{C2F56556-7AA4-4C31-908C-E92F0E2839BD}"/>
    <cellStyle name="Normal 10 3 2 3" xfId="2362" xr:uid="{61E260A6-DD8A-433C-B666-E8EBFE9B6F3A}"/>
    <cellStyle name="Normal 10 3 2_16-17" xfId="2363" xr:uid="{07B1F3C8-0A79-4C97-AD8D-3890B71324EF}"/>
    <cellStyle name="Normal 10 3 3" xfId="2364" xr:uid="{01870757-C138-40B4-A5A5-90C4E5C4EFC3}"/>
    <cellStyle name="Normal 10 3_16-17" xfId="2365" xr:uid="{442531C2-D2E6-4DDF-A92C-C28EE781B136}"/>
    <cellStyle name="Normal 10 4" xfId="2366" xr:uid="{97A20E9D-51E3-492A-94D7-05EC1E2614EF}"/>
    <cellStyle name="Normal 10 4 2" xfId="2367" xr:uid="{A38CB57D-B6B3-4650-A602-D2B16C0E6FCA}"/>
    <cellStyle name="Normal 10 5" xfId="2368" xr:uid="{CB7478F2-88C6-41F7-8FFF-70DA606678AB}"/>
    <cellStyle name="Normal 10 6" xfId="2369" xr:uid="{2A6ECBDB-2A21-4EF5-81A2-4EEF791D41E7}"/>
    <cellStyle name="Normal 10 7" xfId="2370" xr:uid="{06CD56A6-4B9C-46A6-A855-977CC7F03349}"/>
    <cellStyle name="Normal 10_Action plan - Tank" xfId="2371" xr:uid="{F135503F-870F-496D-AEAC-B33D0C741EEA}"/>
    <cellStyle name="Normal 11" xfId="2372" xr:uid="{9F3F21D2-6878-41FA-9A0A-CAE9151AA4DA}"/>
    <cellStyle name="Normal 11 2" xfId="2373" xr:uid="{CC0FACE4-C57D-4D10-AE41-983C480A8EE1}"/>
    <cellStyle name="Normal 11 2 2" xfId="2374" xr:uid="{86B1C3CD-9497-4399-BDCB-4C8AD1CC532E}"/>
    <cellStyle name="Normal 11 2 2 2" xfId="2375" xr:uid="{B7B10BAB-954D-4B3B-9AC9-70C7FCD2553B}"/>
    <cellStyle name="Normal 11 2 2 2 2" xfId="2376" xr:uid="{8462BA70-EE30-4F87-A6B7-DE0091AF0BE9}"/>
    <cellStyle name="Normal 11 2 2 2_16-17" xfId="2377" xr:uid="{2E3E7BE6-E185-4C78-AB84-F104D1D88111}"/>
    <cellStyle name="Normal 11 2 2_16-17" xfId="2378" xr:uid="{C4F50ADD-48F1-4EF5-8A27-929A6BFF8ABA}"/>
    <cellStyle name="Normal 11 2_Action plan - Tank" xfId="2379" xr:uid="{460F6783-D5AC-481B-9C53-BCBE2199AD41}"/>
    <cellStyle name="Normal 11 3" xfId="2380" xr:uid="{848553D0-D5A5-4EB8-B4E1-D1F66140B92F}"/>
    <cellStyle name="Normal 11 3 2" xfId="2381" xr:uid="{973458C9-F2BC-49A6-A21C-E7FBE3F5F64C}"/>
    <cellStyle name="Normal 11 4" xfId="2382" xr:uid="{A4B839D5-12FA-4D1A-883F-058EF0223737}"/>
    <cellStyle name="Normal 11 5" xfId="2383" xr:uid="{18D57B91-B0A6-4C3E-9C12-A596E2452CE2}"/>
    <cellStyle name="Normal 11_Action plan - Tank" xfId="2384" xr:uid="{569DF927-DC2B-456F-8207-2D43199E2007}"/>
    <cellStyle name="Normal 12" xfId="2385" xr:uid="{6162D471-D0EA-469F-A91E-7EEB6A11C9D5}"/>
    <cellStyle name="Normal 12 2" xfId="2386" xr:uid="{D66E5FC8-4F0A-4E4B-8093-3483DCF076FD}"/>
    <cellStyle name="Normal 12 3" xfId="2387" xr:uid="{E9AB44EE-D36E-4610-89CB-E185E03789CB}"/>
    <cellStyle name="Normal 12_Action plan - Tank" xfId="2388" xr:uid="{BF4D7B28-2620-465E-BBFE-C8AF440566EE}"/>
    <cellStyle name="Normal 13" xfId="2389" xr:uid="{6ECF1537-8159-4B8C-B677-81EA3D35AA38}"/>
    <cellStyle name="Normal 13 2" xfId="2390" xr:uid="{EF732CC8-E0FC-4B93-A844-77C5B3E9C0CF}"/>
    <cellStyle name="Normal 13 3" xfId="2391" xr:uid="{77C7728B-3A98-40E9-87CE-2E8742E6FD29}"/>
    <cellStyle name="Normal 13_Action plan - Tank" xfId="2392" xr:uid="{89D7C544-1AC4-4FEA-8DB4-1C34F26DCB11}"/>
    <cellStyle name="Normal 14" xfId="2393" xr:uid="{E797B00B-77D9-40F6-8E2D-AAA27BCEA5FA}"/>
    <cellStyle name="Normal 14 2" xfId="2394" xr:uid="{E4946958-6664-44A8-97DE-A64F45BE9B7D}"/>
    <cellStyle name="Normal 14 3" xfId="2395" xr:uid="{D69CA2A7-B844-435F-ADC4-838A27D77A27}"/>
    <cellStyle name="Normal 14_Action plan - Tank" xfId="2396" xr:uid="{E5C78B5D-9EEB-4128-B5F5-D9F48A752297}"/>
    <cellStyle name="Normal 15" xfId="2397" xr:uid="{7707F81B-D8A0-4E16-B792-BCE163C53875}"/>
    <cellStyle name="Normal 15 2" xfId="2398" xr:uid="{B82ECC75-0095-4DB4-9C72-4DFC7D7CDFC0}"/>
    <cellStyle name="Normal 15 2 2" xfId="2399" xr:uid="{B7D09037-CD94-4044-95D2-3E2EB80BDCB2}"/>
    <cellStyle name="Normal 15 2 3" xfId="2400" xr:uid="{BC9D1C1F-78D5-4D91-A920-EBBA5A0F22F4}"/>
    <cellStyle name="Normal 15 2 4" xfId="2401" xr:uid="{8A43AD7A-0361-4338-81F0-773E4A91503D}"/>
    <cellStyle name="Normal 15 2_16-17" xfId="2402" xr:uid="{5D34D47C-9C1E-4A59-AECC-1F6147D8AAA7}"/>
    <cellStyle name="Normal 15 3" xfId="2403" xr:uid="{CF9C8E17-5FDC-4A87-9799-A02FE9F96F86}"/>
    <cellStyle name="Normal 15 3 2" xfId="2404" xr:uid="{213BC0CF-DCE3-4DDF-948B-500E2B03DF43}"/>
    <cellStyle name="Normal 15 4" xfId="2405" xr:uid="{6AF05C85-4115-4C8C-A8B1-4FD0CB26F66B}"/>
    <cellStyle name="Normal 15 5" xfId="2406" xr:uid="{53CA685F-D99A-413A-AA72-ADE5F3BFA467}"/>
    <cellStyle name="Normal 15_Action plan - Tank" xfId="2407" xr:uid="{37CEAD53-58EA-4BEE-AA14-77901807DE58}"/>
    <cellStyle name="Normal 16" xfId="2408" xr:uid="{3B44AB13-472E-492B-9B8C-99089E017699}"/>
    <cellStyle name="Normal 16 2" xfId="2409" xr:uid="{F9FFA7F3-F04B-422A-A067-873ADA3E7722}"/>
    <cellStyle name="Normal 16 3" xfId="2410" xr:uid="{2AB19A05-E3B5-4C69-82A9-46F732289E37}"/>
    <cellStyle name="Normal 16_Action plan - Tank" xfId="2411" xr:uid="{7BAA5F29-E876-45C1-B6BC-990D47F8F0AB}"/>
    <cellStyle name="Normal 17" xfId="2412" xr:uid="{2EBB0C24-5D2F-4039-8283-CFEA707C9B47}"/>
    <cellStyle name="Normal 17 2" xfId="2413" xr:uid="{EB668085-15DA-48D4-9901-7F6D403E5EB1}"/>
    <cellStyle name="Normal 18" xfId="2414" xr:uid="{BBCEE41C-C6B0-4ABF-9D54-3D1F90D2A2BB}"/>
    <cellStyle name="Normal 18 2" xfId="2415" xr:uid="{AC49ACD0-F10E-47FB-B805-58C8AA3E66EE}"/>
    <cellStyle name="Normal 19" xfId="2416" xr:uid="{C18E4552-4561-4AF5-AF4A-8C0BEDB0995D}"/>
    <cellStyle name="Normal 19 2" xfId="2417" xr:uid="{F2E5F1C0-D948-448D-9536-AF36C08F497E}"/>
    <cellStyle name="Normal 2" xfId="2418" xr:uid="{F5CB742F-364B-4865-956D-9E0B2D1B293B}"/>
    <cellStyle name="Normal 2 10" xfId="2419" xr:uid="{D6426059-F1B8-4C50-9138-4707D4EC8405}"/>
    <cellStyle name="Normal 2 11" xfId="2420" xr:uid="{03796903-F641-4111-8609-BF5DC735E400}"/>
    <cellStyle name="Normal 2 12" xfId="2421" xr:uid="{2F89025B-78BF-4976-9882-D3E1F9835A3D}"/>
    <cellStyle name="Normal 2 13" xfId="2422" xr:uid="{FB3E08F6-75F5-4DC4-A7D0-C6B4F83CEC5C}"/>
    <cellStyle name="Normal 2 14" xfId="2423" xr:uid="{F93FAF01-CED9-4364-9E9F-A8873AA048E7}"/>
    <cellStyle name="Normal 2 14 2" xfId="2424" xr:uid="{FA9944CE-DCD2-413F-BF80-0460A4B6F404}"/>
    <cellStyle name="Normal 2 14_Capital per unit 23.12.15 " xfId="2425" xr:uid="{192DFD1F-992E-4687-80C7-437DE6AC2B22}"/>
    <cellStyle name="Normal 2 15" xfId="2426" xr:uid="{2F4D5507-E265-41DF-BB63-C96195F0A6FE}"/>
    <cellStyle name="Normal 2 15 2" xfId="2427" xr:uid="{B702BA70-C860-4826-8DC4-8CF7AD46D3A3}"/>
    <cellStyle name="Normal 2 15_Capital per unit 23.12.15 " xfId="2428" xr:uid="{8C084A70-3587-417A-BF11-48CB5D62DB56}"/>
    <cellStyle name="Normal 2 16" xfId="2429" xr:uid="{C07A1D64-49B3-4784-BA64-B71523A260EC}"/>
    <cellStyle name="Normal 2 16 2" xfId="2430" xr:uid="{10356FF5-A67A-4F02-87D7-0DBC20791772}"/>
    <cellStyle name="Normal 2 16_Capital per unit 23.12.15 " xfId="2431" xr:uid="{F6480DD9-80C4-4934-A0CB-3EDE20CB75C5}"/>
    <cellStyle name="Normal 2 17" xfId="2432" xr:uid="{BAAE0450-98DF-4DE5-B201-3F816FF7EAF9}"/>
    <cellStyle name="Normal 2 17 2" xfId="2433" xr:uid="{A234EBFB-0168-405B-9917-7A1AE8B1BBC0}"/>
    <cellStyle name="Normal 2 17_Capital per unit 23.12.15 " xfId="2434" xr:uid="{AC4FE531-E707-4D7E-95E0-47E8DCCB0A21}"/>
    <cellStyle name="Normal 2 18" xfId="2435" xr:uid="{EFAB78DA-1A6D-46C5-8E0F-4510F758FCE9}"/>
    <cellStyle name="Normal 2 18 2" xfId="2436" xr:uid="{5394C661-7794-46EF-AB9F-690080C71DC2}"/>
    <cellStyle name="Normal 2 18_Capital per unit 23.12.15 " xfId="2437" xr:uid="{988BD3AA-7D5D-425F-80D7-FFEC583BDCF5}"/>
    <cellStyle name="Normal 2 19" xfId="2438" xr:uid="{A4049728-904A-45F9-8C2F-67ED6D982F9A}"/>
    <cellStyle name="Normal 2 19 2" xfId="2439" xr:uid="{69C2F03F-951C-4124-B3CB-30EB2C0A12BB}"/>
    <cellStyle name="Normal 2 19_Capital per unit 23.12.15 " xfId="2440" xr:uid="{5E34EB7F-6BD9-4183-96AF-D8F6FB045F9B}"/>
    <cellStyle name="Normal 2 2" xfId="2441" xr:uid="{126642F1-EA82-4C41-B9C8-97745A1D2479}"/>
    <cellStyle name="Normal 2 2 10" xfId="2442" xr:uid="{4FCAFC41-CF95-407B-8FA2-68CFA369E5D0}"/>
    <cellStyle name="Normal 2 2 10 2" xfId="2443" xr:uid="{D1D580C4-8ACC-4933-AC62-44DC519614A1}"/>
    <cellStyle name="Normal 2 2 10_Capital per unit 23.12.15 " xfId="2444" xr:uid="{7EDA24FC-921B-4336-B56C-2DCCC54A50D4}"/>
    <cellStyle name="Normal 2 2 11" xfId="2445" xr:uid="{6D8DF51D-F6D7-4D4C-81A9-57D7CB2C6578}"/>
    <cellStyle name="Normal 2 2 11 2" xfId="2446" xr:uid="{5955C722-EFE1-443D-ADAE-21FBB788A94F}"/>
    <cellStyle name="Normal 2 2 11_Capital per unit 23.12.15 " xfId="2447" xr:uid="{0C34EE76-BB0D-4E40-87E5-39A46536A3B0}"/>
    <cellStyle name="Normal 2 2 12" xfId="2448" xr:uid="{1748B948-1FA7-4D44-BD47-6C70371F020F}"/>
    <cellStyle name="Normal 2 2 12 2" xfId="2449" xr:uid="{28B81646-CC03-4A9B-94E3-8BD3644BCC4B}"/>
    <cellStyle name="Normal 2 2 12_Capital per unit 23.12.15 " xfId="2450" xr:uid="{E64EDBAF-56DA-4D05-8DB4-97AE2C9DEB06}"/>
    <cellStyle name="Normal 2 2 13" xfId="2451" xr:uid="{059FCBCE-F0D7-4DED-ABB3-84067925CE79}"/>
    <cellStyle name="Normal 2 2 13 2" xfId="2452" xr:uid="{A416250E-6B54-4768-8693-651C89D64311}"/>
    <cellStyle name="Normal 2 2 13_Capital per unit 23.12.15 " xfId="2453" xr:uid="{46893284-164C-4363-A9C3-0F5F12D1539E}"/>
    <cellStyle name="Normal 2 2 14" xfId="2454" xr:uid="{0229871D-290F-41BC-A5CD-B62959012CD4}"/>
    <cellStyle name="Normal 2 2 15" xfId="2455" xr:uid="{2B3D9EB6-F2E9-47B1-B065-538C550E6C0D}"/>
    <cellStyle name="Normal 2 2 16" xfId="2456" xr:uid="{4DF9B92C-DD3F-4E6D-9692-869D22775394}"/>
    <cellStyle name="Normal 2 2 17" xfId="2457" xr:uid="{B682FC22-54B5-4483-84FB-994BED2C6CBE}"/>
    <cellStyle name="Normal 2 2 18" xfId="2458" xr:uid="{50EE8D12-101D-47E7-A367-EE63F1412129}"/>
    <cellStyle name="Normal 2 2 19" xfId="2459" xr:uid="{0480F634-37D4-4793-A862-076B60C9077D}"/>
    <cellStyle name="Normal 2 2 2" xfId="2460" xr:uid="{A1B04565-68A7-4BAF-A38D-F31C940E339D}"/>
    <cellStyle name="Normal 2 2 2 10" xfId="2461" xr:uid="{CEB18DB5-0473-4C44-8A85-462EA1442264}"/>
    <cellStyle name="Normal 2 2 2 11" xfId="2462" xr:uid="{9EB76D16-C654-4BE2-A2F0-F5FE3C2EEA92}"/>
    <cellStyle name="Normal 2 2 2 12" xfId="2463" xr:uid="{DEA464EC-3A6A-4E3F-BE99-06425AE3419D}"/>
    <cellStyle name="Normal 2 2 2 2" xfId="2464" xr:uid="{5B493E71-038D-4FE3-A9C9-6A8202A17DC3}"/>
    <cellStyle name="Normal 2 2 2 2 2" xfId="2465" xr:uid="{5F87CE65-E0C6-4FB2-AF5B-1A2586DAF2D1}"/>
    <cellStyle name="Normal 2 2 2 2_16-17" xfId="2466" xr:uid="{72444F77-512A-4D9E-9764-22500D40F391}"/>
    <cellStyle name="Normal 2 2 2 3" xfId="2467" xr:uid="{80425736-5939-412A-8391-7DC0A30C4899}"/>
    <cellStyle name="Normal 2 2 2 4" xfId="2468" xr:uid="{55B8AF64-65FC-4205-8D68-ED4D376FF5D0}"/>
    <cellStyle name="Normal 2 2 2 5" xfId="2469" xr:uid="{6C27F94B-D933-4918-B379-AE76F8160B45}"/>
    <cellStyle name="Normal 2 2 2 6" xfId="2470" xr:uid="{0504C669-FEA5-4ED6-AFFE-E289F379B418}"/>
    <cellStyle name="Normal 2 2 2 7" xfId="2471" xr:uid="{DFBBB474-780F-4FFA-9CD4-894095892399}"/>
    <cellStyle name="Normal 2 2 2 8" xfId="2472" xr:uid="{357A6CB3-685D-41A1-A5A3-BFAD6D8599F3}"/>
    <cellStyle name="Normal 2 2 2 9" xfId="2473" xr:uid="{77CC4108-E0CF-46D6-B5DC-BCC50B44D41B}"/>
    <cellStyle name="Normal 2 2 2_10 Control Points - 2011-12" xfId="2474" xr:uid="{FA3E530B-0EDC-40B8-9527-43D26229AB0D}"/>
    <cellStyle name="Normal 2 2 20" xfId="2475" xr:uid="{87C23F29-E35B-4C14-837D-442DD24E63C9}"/>
    <cellStyle name="Normal 2 2 21" xfId="2476" xr:uid="{60AEA36E-EB14-4494-9C65-1A8C1AB0193C}"/>
    <cellStyle name="Normal 2 2 22" xfId="2477" xr:uid="{5EF7F521-733D-4F7B-9E38-EC2BEE6B79DA}"/>
    <cellStyle name="Normal 2 2 23" xfId="2478" xr:uid="{B898514B-BADB-4C8C-A2BB-CA2D2341E955}"/>
    <cellStyle name="Normal 2 2 24" xfId="2479" xr:uid="{BDAEDD12-EEB7-404A-A2D4-701B8CF2BD72}"/>
    <cellStyle name="Normal 2 2 25" xfId="2480" xr:uid="{9A91CD86-A962-49AD-9F94-F0338AC73ABA}"/>
    <cellStyle name="Normal 2 2 26" xfId="2481" xr:uid="{61AA1306-68B1-49BE-A058-E4F2ED16D5CD}"/>
    <cellStyle name="Normal 2 2 27" xfId="2482" xr:uid="{8666ABB7-5D3B-4733-96DB-3347D33A6E26}"/>
    <cellStyle name="Normal 2 2 28" xfId="2483" xr:uid="{AEB37224-D7EC-4D39-8614-246C31339739}"/>
    <cellStyle name="Normal 2 2 3" xfId="2484" xr:uid="{3E97BDC4-7174-44F3-AE4C-145C669A530E}"/>
    <cellStyle name="Normal 2 2 3 2" xfId="2485" xr:uid="{81B37D46-8B1D-40DC-937D-85364B994E49}"/>
    <cellStyle name="Normal 2 2 3_16-17" xfId="2486" xr:uid="{250A338A-5024-4169-A507-143C6AA843BB}"/>
    <cellStyle name="Normal 2 2 4" xfId="2487" xr:uid="{BEB540AF-1610-45AF-AB93-5991F21B55AB}"/>
    <cellStyle name="Normal 2 2 5" xfId="2488" xr:uid="{F76B8185-2B19-45C8-A610-94BF4BE82898}"/>
    <cellStyle name="Normal 2 2 6" xfId="2489" xr:uid="{AD0EDB15-E670-438A-8F3C-44D474544EBE}"/>
    <cellStyle name="Normal 2 2 6 2" xfId="2490" xr:uid="{0DE88197-6BAA-4220-9029-5B7BF1CD2126}"/>
    <cellStyle name="Normal 2 2 6_Capital per unit 23.12.15 " xfId="2491" xr:uid="{35D9C298-2D35-4EF0-BE2D-F58A5EF94E94}"/>
    <cellStyle name="Normal 2 2 7" xfId="2492" xr:uid="{B7240367-384A-40C0-B91F-38747AA6C2B1}"/>
    <cellStyle name="Normal 2 2 7 2" xfId="2493" xr:uid="{8757EC1E-5D66-41BF-A530-8825E70DE447}"/>
    <cellStyle name="Normal 2 2 7_Capital per unit 23.12.15 " xfId="2494" xr:uid="{1FCC50CB-07AB-4CFA-86BF-7C8450E555C3}"/>
    <cellStyle name="Normal 2 2 8" xfId="2495" xr:uid="{B0A482CF-1E84-43DA-A733-9B0EDFC18BA4}"/>
    <cellStyle name="Normal 2 2 8 2" xfId="2496" xr:uid="{22EF65F9-E953-45C0-A6A0-9998C0427B69}"/>
    <cellStyle name="Normal 2 2 8_Capital per unit 23.12.15 " xfId="2497" xr:uid="{A6CB4899-7AB6-4ACA-BDB4-3C655A7CDE81}"/>
    <cellStyle name="Normal 2 2 9" xfId="2498" xr:uid="{8D1D8E97-DC16-4CCD-92D3-8076D892494A}"/>
    <cellStyle name="Normal 2 2 9 2" xfId="2499" xr:uid="{BACC27C3-D13E-4CB8-B8C0-0594921E682E}"/>
    <cellStyle name="Normal 2 2 9_Capital per unit 23.12.15 " xfId="2500" xr:uid="{C29240E1-E8EF-4E94-89E6-9A497BCE3756}"/>
    <cellStyle name="Normal 2 2_01  Jega - CP - 2012- 13 (April 12) (2)" xfId="2501" xr:uid="{B0387FD3-224A-47D8-8677-D04128B6E3CF}"/>
    <cellStyle name="Normal 2 20" xfId="2502" xr:uid="{3EC1FE99-30D8-4CC4-9B9E-BF450159B87C}"/>
    <cellStyle name="Normal 2 20 2" xfId="2503" xr:uid="{DEEBB6E6-23B5-4E8B-8CA2-D892D54A29F9}"/>
    <cellStyle name="Normal 2 20_Capital per unit 23.12.15 " xfId="2504" xr:uid="{F1AD23F7-4C33-4896-9231-26A0818980B7}"/>
    <cellStyle name="Normal 2 21" xfId="2505" xr:uid="{C5E613FA-516C-4BE0-A760-D8FFD8768765}"/>
    <cellStyle name="Normal 2 21 2" xfId="2506" xr:uid="{6059B096-2C64-420B-A528-8D89867C28B3}"/>
    <cellStyle name="Normal 2 21_Capital per unit 23.12.15 " xfId="2507" xr:uid="{25403D97-3230-4070-B82E-5E50FBE5B2D1}"/>
    <cellStyle name="Normal 2 22" xfId="2508" xr:uid="{6F7497E4-67BD-4AED-B3CB-2D151DFEED70}"/>
    <cellStyle name="Normal 2 22 2" xfId="2509" xr:uid="{71F57E2C-C653-4174-91F6-B2132DCD0E38}"/>
    <cellStyle name="Normal 2 22_Capital per unit 23.12.15 " xfId="2510" xr:uid="{6B95CD95-BCCD-49F3-AEAA-542DD6A25EBD}"/>
    <cellStyle name="Normal 2 23" xfId="2511" xr:uid="{A4597EFF-79BB-4728-A13C-9A8EE7100321}"/>
    <cellStyle name="Normal 2 23 2" xfId="2512" xr:uid="{76229339-AF2F-4AB7-88D0-11447A39FC9A}"/>
    <cellStyle name="Normal 2 23_Capital per unit 23.12.15 " xfId="2513" xr:uid="{E05583C9-A368-4281-8AE7-85C98A8B728B}"/>
    <cellStyle name="Normal 2 24" xfId="2514" xr:uid="{961FE44E-A474-4624-86C9-D54BE3329C47}"/>
    <cellStyle name="Normal 2 24 2" xfId="2515" xr:uid="{7B1C5369-A7C0-46EC-BC03-61A8CE6444A8}"/>
    <cellStyle name="Normal 2 24_Capital per unit 23.12.15 " xfId="2516" xr:uid="{FE2E8643-FEAF-4A44-9EEB-0BEE9C18D0B8}"/>
    <cellStyle name="Normal 2 25" xfId="2517" xr:uid="{14254A5C-B0A4-4167-8DA9-8E97F83C0949}"/>
    <cellStyle name="Normal 2 25 2" xfId="2518" xr:uid="{E21CA9B5-E6B3-4BC1-9E00-8A7A87E265CF}"/>
    <cellStyle name="Normal 2 25_Capital per unit 23.12.15 " xfId="2519" xr:uid="{77AA7664-6789-43B4-824B-3A279FD67D40}"/>
    <cellStyle name="Normal 2 26" xfId="2520" xr:uid="{D3064153-E8AB-4C6D-8D0D-45A0AA0E0266}"/>
    <cellStyle name="Normal 2 27" xfId="2521" xr:uid="{CAC1CD09-36A9-4D49-91AF-59E4738CC390}"/>
    <cellStyle name="Normal 2 28" xfId="2522" xr:uid="{013D0450-9443-499F-9CAA-10F121323628}"/>
    <cellStyle name="Normal 2 29" xfId="2523" xr:uid="{55DF9ED8-633F-451B-B684-E2A76794ACB4}"/>
    <cellStyle name="Normal 2 3" xfId="2524" xr:uid="{EC18ACB5-43BF-422F-8BD1-F065B3519CF8}"/>
    <cellStyle name="Normal 2 3 2" xfId="2525" xr:uid="{7106C1E1-6A89-4F6A-975E-B04DEC1A136F}"/>
    <cellStyle name="Normal 2 3 2 2" xfId="2526" xr:uid="{D072504A-5205-4C7A-876B-9EFBB3F12D10}"/>
    <cellStyle name="Normal 2 3 2_16-17" xfId="2527" xr:uid="{D77A5547-6426-4CEB-839C-C9B721CCD516}"/>
    <cellStyle name="Normal 2 3 3" xfId="2528" xr:uid="{6AC44873-6302-4415-B51F-6D475D847713}"/>
    <cellStyle name="Normal 2 3 4" xfId="2529" xr:uid="{EAA17A68-F004-4659-8E7B-E4C89F3251E0}"/>
    <cellStyle name="Normal 2 3 4 2" xfId="2530" xr:uid="{57EAB1B3-4FA9-4D11-9E24-AB3272F580F9}"/>
    <cellStyle name="Normal 2 3 5" xfId="2531" xr:uid="{E8096B4E-66FD-4E79-9AE2-756C07E010F1}"/>
    <cellStyle name="Normal 2 3_Action plan - Tank" xfId="2532" xr:uid="{9211C75F-8C53-40F9-AD31-B59E94786BB9}"/>
    <cellStyle name="Normal 2 30" xfId="3811" xr:uid="{7A5BD16F-DF05-4AEE-84F7-BA6F4FBB1C30}"/>
    <cellStyle name="Normal 2 31" xfId="3815" xr:uid="{3571CCE7-E77E-46B1-BE33-F3980064D35A}"/>
    <cellStyle name="Normal 2 32" xfId="3820" xr:uid="{4BA2F7CF-1A62-4369-9437-75A13D43CF32}"/>
    <cellStyle name="Normal 2 4" xfId="2533" xr:uid="{81BCC8F2-305A-4AFB-97CA-63579826CCEC}"/>
    <cellStyle name="Normal 2 4 2" xfId="2534" xr:uid="{35971983-7028-4750-8C5B-6FA31FBA48EC}"/>
    <cellStyle name="Normal 2 4 2 2" xfId="2535" xr:uid="{088FF401-D225-4983-A1E3-8DE62FBB1CE9}"/>
    <cellStyle name="Normal 2 4 3" xfId="2536" xr:uid="{E81C4699-411E-43D4-9197-51E7D619E823}"/>
    <cellStyle name="Normal 2 4_Action plan - Tank" xfId="2537" xr:uid="{30689739-8F92-4485-BBEC-8F9E3F742EA2}"/>
    <cellStyle name="Normal 2 5" xfId="2538" xr:uid="{948AE129-C2D3-4312-B0F5-5EA0F12BE533}"/>
    <cellStyle name="Normal 2 5 2" xfId="2539" xr:uid="{AFBF24C3-B96C-4440-A887-3931F1CD6D38}"/>
    <cellStyle name="Normal 2 5_Capital per unit 23.12.15 " xfId="2540" xr:uid="{6FD4ED76-918C-4305-9BD4-A8DA598287D5}"/>
    <cellStyle name="Normal 2 6" xfId="2541" xr:uid="{F53C4739-D4AD-467F-BA86-ECDE56E34DFE}"/>
    <cellStyle name="Normal 2 6 2" xfId="2542" xr:uid="{4485EB4E-851C-4387-B592-2EAD7707A909}"/>
    <cellStyle name="Normal 2 7" xfId="2543" xr:uid="{08F57F93-284C-4B22-AFAD-7D5DCCA30860}"/>
    <cellStyle name="Normal 2 7 2" xfId="2544" xr:uid="{C3C325BF-F1E5-479C-9303-43BB2386AB5D}"/>
    <cellStyle name="Normal 2 7 2 2" xfId="2545" xr:uid="{808306ED-74B0-4722-81E1-213F9D1248BD}"/>
    <cellStyle name="Normal 2 8" xfId="2546" xr:uid="{7DA24FF6-E1C0-45DF-8900-93200002FD41}"/>
    <cellStyle name="Normal 2 8 2" xfId="2547" xr:uid="{E5B6F9C2-05DA-4F86-84CD-72E0BDA8CD9D}"/>
    <cellStyle name="Normal 2 9" xfId="2548" xr:uid="{CD32D13D-26F7-494F-8299-EAC37CCC16E2}"/>
    <cellStyle name="Normal 2_0- Dead Stk tracking" xfId="2549" xr:uid="{21D6F5BB-11CC-4428-BAE2-2D63BFC33F2D}"/>
    <cellStyle name="Normal 20" xfId="2550" xr:uid="{4831C2A0-E845-4B4B-A23D-FA541A8CDF57}"/>
    <cellStyle name="Normal 20 2" xfId="2551" xr:uid="{22722691-AD09-4142-BE58-4ACEFF1A8FE5}"/>
    <cellStyle name="Normal 21" xfId="2552" xr:uid="{B173194E-8CA6-4F0D-A309-6824667A0BDA}"/>
    <cellStyle name="Normal 21 2" xfId="2553" xr:uid="{8DB4AF35-49C0-4002-A16A-873BCADA8BB2}"/>
    <cellStyle name="Normal 22" xfId="2554" xr:uid="{9D98AA1B-AE93-4369-86AF-C638DB609B85}"/>
    <cellStyle name="Normal 22 2" xfId="2555" xr:uid="{7E8762F0-14A8-44EF-9B38-244F867D459E}"/>
    <cellStyle name="Normal 23" xfId="2556" xr:uid="{15F7895C-AD9B-4AC3-A543-FD333A2BC382}"/>
    <cellStyle name="Normal 23 2" xfId="2557" xr:uid="{607D9FBE-BF8A-4F1F-B43F-B748FC0209CA}"/>
    <cellStyle name="Normal 23 3" xfId="2558" xr:uid="{6987A269-2312-4D03-9FED-5508D00178A2}"/>
    <cellStyle name="Normal 24" xfId="2559" xr:uid="{9A439B0C-FB57-4749-BA05-F40AF76BB4EF}"/>
    <cellStyle name="Normal 24 2" xfId="2560" xr:uid="{C80D0045-BD52-4190-A587-D9F77C8D681A}"/>
    <cellStyle name="Normal 24 3" xfId="2561" xr:uid="{4D44D72F-4B23-4AAC-8D68-C0B4C747AC1B}"/>
    <cellStyle name="Normal 24_DPSAC TOCT Details" xfId="2562" xr:uid="{B6E0AE1D-3CFE-448B-A2E7-1A1D6BB8ED3B}"/>
    <cellStyle name="Normal 25" xfId="2563" xr:uid="{98A43094-81E4-4FE6-9F6D-466BE7119628}"/>
    <cellStyle name="Normal 25 2" xfId="2564" xr:uid="{C9E89C3F-D3D5-44D8-B204-D030CDDB5F66}"/>
    <cellStyle name="Normal 25 3" xfId="3823" xr:uid="{9BCDAB15-F64C-4A13-86A4-52BD2FBDC1B2}"/>
    <cellStyle name="Normal 26" xfId="2565" xr:uid="{5CF49A71-E208-4753-A3E8-E985403811A1}"/>
    <cellStyle name="Normal 27" xfId="2566" xr:uid="{BFDBE9F2-E2B4-48D6-B045-EF0329940B87}"/>
    <cellStyle name="Normal 28" xfId="2567" xr:uid="{606AB58D-6D81-4E3B-9F4A-FCCCDE4BA5BF}"/>
    <cellStyle name="Normal 29" xfId="2568" xr:uid="{CB998647-5DAA-4629-BAE0-6B53A09A3790}"/>
    <cellStyle name="Normal 3" xfId="2569" xr:uid="{83E5338C-EE81-49E1-A7AB-DFC1A31A8AB4}"/>
    <cellStyle name="Normal 3 2" xfId="2570" xr:uid="{872799B5-98F7-4B06-8961-E87C368AEE1A}"/>
    <cellStyle name="Normal 3 2 2" xfId="2571" xr:uid="{83C3F472-7103-489E-97B2-81599D5D0614}"/>
    <cellStyle name="Normal 3 2 2 2" xfId="2572" xr:uid="{C09C1DDA-6CE2-493D-9458-65BC270B459F}"/>
    <cellStyle name="Normal 3 2 3" xfId="2573" xr:uid="{5DF11913-FCA0-46F0-975E-D40E2E5142CC}"/>
    <cellStyle name="Normal 3 2_Action plan - Tank" xfId="2574" xr:uid="{8DB5940A-581D-4297-8BF6-E161B47FB316}"/>
    <cellStyle name="Normal 3 3" xfId="2575" xr:uid="{FBADCD9D-A224-4FB5-88B3-BB0DD4ABBE09}"/>
    <cellStyle name="Normal 3 3 2" xfId="2576" xr:uid="{78D9C2BC-C6AA-4D02-9115-950D602E13CA}"/>
    <cellStyle name="Normal 3 4" xfId="2577" xr:uid="{D7EDF61D-D012-4C59-9D48-E475149CC275}"/>
    <cellStyle name="Normal 3 4 2" xfId="2578" xr:uid="{7789DFE9-CA68-4403-8783-8C5AE3A83B35}"/>
    <cellStyle name="Normal 3 5" xfId="2579" xr:uid="{2715D2FA-0A35-4202-A533-4318756A7716}"/>
    <cellStyle name="Normal 3 5 2" xfId="2580" xr:uid="{A60128B7-4D48-4F40-98D0-1F3464B7FCA0}"/>
    <cellStyle name="Normal 3 6" xfId="2581" xr:uid="{C671CC56-4D29-4F1A-AE64-024DEC88A620}"/>
    <cellStyle name="Normal 3 6 2" xfId="2582" xr:uid="{9BBA8424-5276-42C8-9613-8A58348FBA0B}"/>
    <cellStyle name="Normal 3 7" xfId="2583" xr:uid="{F68470EF-71A7-4C9A-A9D0-AE32354A2443}"/>
    <cellStyle name="Normal 3 7 2" xfId="2584" xr:uid="{C06C394A-0C32-4D35-8EBE-C4957F233FFB}"/>
    <cellStyle name="Normal 3 8" xfId="2585" xr:uid="{EF4E8D33-04C5-48E0-9218-96318CCCEDF4}"/>
    <cellStyle name="Normal 3 8 2" xfId="2586" xr:uid="{9FA75546-59D6-4D61-9681-65C6F1FCC329}"/>
    <cellStyle name="Normal 3 9" xfId="2587" xr:uid="{A6CD2039-7945-4C4E-B51C-D2BA9C03ED23}"/>
    <cellStyle name="Normal 3_0- Dead Stk tracking" xfId="2588" xr:uid="{9ED29CCF-ABD2-4EFD-B633-C5AD107190C3}"/>
    <cellStyle name="Normal 30" xfId="2589" xr:uid="{69F37D31-E279-4522-8C3B-51B103E06A54}"/>
    <cellStyle name="Normal 31" xfId="2590" xr:uid="{9E1D58E0-903C-4844-943F-2FDB2EAFC743}"/>
    <cellStyle name="Normal 32" xfId="2591" xr:uid="{986DBF26-18B4-411C-A96A-BCF37084C2C3}"/>
    <cellStyle name="Normal 33" xfId="2592" xr:uid="{6F3CF4B6-382C-4A9B-AD75-A4FDB7C71136}"/>
    <cellStyle name="Normal 34" xfId="2593" xr:uid="{0A208BE3-2D5E-49E0-BA39-80C235AB5125}"/>
    <cellStyle name="Normal 35" xfId="3792" xr:uid="{D7D593F5-F1AA-4C77-BC92-B12CEEF603E7}"/>
    <cellStyle name="Normal 36" xfId="3810" xr:uid="{9426067C-0D6B-4D7B-B9C9-23A4168E61DF}"/>
    <cellStyle name="Normal 37" xfId="3816" xr:uid="{B4DA6F16-B45A-43F6-B082-F32CFAAEDB0B}"/>
    <cellStyle name="Normal 4" xfId="2594" xr:uid="{937E95EF-B88C-488A-B946-EDCC2A4F2E1C}"/>
    <cellStyle name="Normal 4 10" xfId="2595" xr:uid="{0FFBDFBE-D6AF-4476-B212-955B7E3E9BF8}"/>
    <cellStyle name="Normal 4 11" xfId="2596" xr:uid="{325C73C6-B3F5-48B8-8747-C08A9E76636A}"/>
    <cellStyle name="Normal 4 12" xfId="2597" xr:uid="{B27F5D89-1508-4C9C-BC8F-4E27F8DAFFC1}"/>
    <cellStyle name="Normal 4 2" xfId="2598" xr:uid="{134940A8-F038-4E70-9540-DD94AE0C5731}"/>
    <cellStyle name="Normal 4 2 2" xfId="2599" xr:uid="{23D59649-F71A-4E42-A4C1-5C545936E731}"/>
    <cellStyle name="Normal 4 2 2 2" xfId="2600" xr:uid="{F2CF3127-9CAD-4CF5-B4BA-C65BF8300AA5}"/>
    <cellStyle name="Normal 4 2 2_16-17" xfId="2601" xr:uid="{0482D436-1D24-4B0E-81E2-7181686F63E6}"/>
    <cellStyle name="Normal 4 2 3" xfId="2602" xr:uid="{778AE0A2-8639-4CC1-9903-A5A1B29D6B45}"/>
    <cellStyle name="Normal 4 2 4" xfId="2603" xr:uid="{AB0E2F6D-3D1C-4062-8968-2881F12F5239}"/>
    <cellStyle name="Normal 4 2 4 2" xfId="2604" xr:uid="{25F5CA0B-DFC9-4D14-86C9-D35723FABD05}"/>
    <cellStyle name="Normal 4 2 5" xfId="2605" xr:uid="{3D54C54D-9A27-4711-9BA0-F9DACBD9C589}"/>
    <cellStyle name="Normal 4 2 6" xfId="2606" xr:uid="{ACB764F2-3DF5-4CD6-B8AB-E15FB614524B}"/>
    <cellStyle name="Normal 4 2_16-17" xfId="2607" xr:uid="{27A124F6-3123-4387-9926-51FC8E834C1D}"/>
    <cellStyle name="Normal 4 3" xfId="2608" xr:uid="{6D1890BD-50A3-4F3D-9ED0-222BDE86EAA7}"/>
    <cellStyle name="Normal 4 3 2" xfId="2609" xr:uid="{99B1488A-BFE8-4978-9583-83B75355A1D9}"/>
    <cellStyle name="Normal 4 3_16-17" xfId="2610" xr:uid="{8E9993A1-ACAD-4809-A85F-4AD311B38D7C}"/>
    <cellStyle name="Normal 4 4" xfId="2611" xr:uid="{03B9C66D-B407-49AD-84D8-5A40B13CEDE3}"/>
    <cellStyle name="Normal 4 5" xfId="2612" xr:uid="{729D529D-EB54-4ECB-8801-E33FD99FBEAD}"/>
    <cellStyle name="Normal 4 6" xfId="2613" xr:uid="{B27B270F-90B0-4FF7-B539-29EC9697CB03}"/>
    <cellStyle name="Normal 4 7" xfId="2614" xr:uid="{E42C35AB-2943-472D-B3D6-03145E001293}"/>
    <cellStyle name="Normal 4 8" xfId="2615" xr:uid="{48417B0E-9913-4FE6-93F0-5F0AFE6F10DC}"/>
    <cellStyle name="Normal 4 9" xfId="2616" xr:uid="{788A8B2E-6515-4225-83A7-E79B1C7F4A67}"/>
    <cellStyle name="Normal 4_1 Setups reduction in RH" xfId="2617" xr:uid="{AEBE80B0-52C1-4381-B8C0-DF14CE1CB25E}"/>
    <cellStyle name="Normal 5" xfId="2618" xr:uid="{1B211637-C269-470E-B6C0-A9ACDFD9DB4C}"/>
    <cellStyle name="Normal 5 10" xfId="2619" xr:uid="{D3FC32E3-9BC9-4C3E-9CC3-0C9127CCA4A4}"/>
    <cellStyle name="Normal 5 11" xfId="2620" xr:uid="{8FE6C830-8F96-4AB1-A12C-F6207ACE4487}"/>
    <cellStyle name="Normal 5 11 2" xfId="2621" xr:uid="{07D25E32-8E2C-4B11-9B52-75432C814738}"/>
    <cellStyle name="Normal 5 12" xfId="2622" xr:uid="{222C73F0-FF68-4B33-818A-1D19A0A328BB}"/>
    <cellStyle name="Normal 5 2" xfId="2623" xr:uid="{10E81A23-741C-4A36-ABA7-224B54BFBE26}"/>
    <cellStyle name="Normal 5 3" xfId="2624" xr:uid="{C11060F1-08F2-4D46-8029-61ED69218058}"/>
    <cellStyle name="Normal 5 3 2" xfId="2625" xr:uid="{3C7B4507-E7A2-46ED-957C-BB50F99D9F21}"/>
    <cellStyle name="Normal 5 3 3" xfId="2626" xr:uid="{F1EBCF1D-406C-4402-BBF0-F35A21382768}"/>
    <cellStyle name="Normal 5 3_2.Control Points-devastores-2012-13" xfId="2627" xr:uid="{F362A90C-922D-4923-AB6C-6EDCB2CBB7D2}"/>
    <cellStyle name="Normal 5 4" xfId="2628" xr:uid="{B63684B5-2A06-47AE-99BC-97D051482ED5}"/>
    <cellStyle name="Normal 5 5" xfId="2629" xr:uid="{2C739FEB-7176-4C6D-BE08-AF609F57418C}"/>
    <cellStyle name="Normal 5 6" xfId="2630" xr:uid="{CC5543A3-761B-482B-B7B8-CD109CF5CE9A}"/>
    <cellStyle name="Normal 5 7" xfId="2631" xr:uid="{171DCCC1-E7FA-45EF-AAC9-C875B001C73C}"/>
    <cellStyle name="Normal 5 8" xfId="2632" xr:uid="{BF7D0A09-DC5F-4426-927C-BD0A85BAE897}"/>
    <cellStyle name="Normal 5 9" xfId="2633" xr:uid="{A5A5DB16-44A9-4C97-97C1-29FCC596FFD1}"/>
    <cellStyle name="Normal 5_16-17" xfId="2634" xr:uid="{BE463C7C-4FAF-45F7-AA8A-EB6F98A6904D}"/>
    <cellStyle name="Normal 6" xfId="2635" xr:uid="{CA033C4C-8F1A-463D-9023-E21A6A1C06B6}"/>
    <cellStyle name="Normal 6 2" xfId="2636" xr:uid="{90C1EADD-8D90-4128-B172-1BA6BC9A9858}"/>
    <cellStyle name="Normal 6 2 2" xfId="2637" xr:uid="{19AF6483-B10A-4896-B191-C2E44D18972D}"/>
    <cellStyle name="Normal 6 3" xfId="2638" xr:uid="{DD9478D7-F5C5-49E5-95D6-02944EB87A84}"/>
    <cellStyle name="Normal 6 4" xfId="2639" xr:uid="{A218A50F-75F9-432E-A048-4FA9EF29B551}"/>
    <cellStyle name="Normal 6_Action plan - Tank" xfId="2640" xr:uid="{2F10F9AA-4EEF-4791-B563-231E76A7EE59}"/>
    <cellStyle name="Normal 7" xfId="2641" xr:uid="{253797CD-8FFF-4980-BD67-D17D3D0B376C}"/>
    <cellStyle name="Normal 7 2" xfId="2642" xr:uid="{B283A70C-8AE2-4DDA-B4BC-C052A1133F7E}"/>
    <cellStyle name="Normal 7 2 2" xfId="2643" xr:uid="{FC50AD24-DB48-47D6-B97A-33D9369A8497}"/>
    <cellStyle name="Normal 7 3" xfId="2644" xr:uid="{99E922CC-9DBD-43CD-8CAE-16C3661627F2}"/>
    <cellStyle name="Normal 7 4" xfId="2645" xr:uid="{5D9A13F5-B08C-4401-B9C8-F567B350DAD7}"/>
    <cellStyle name="Normal 7_Action plan - Tank" xfId="2646" xr:uid="{4F6BAF7E-78E7-4128-BF13-C2710DFA7467}"/>
    <cellStyle name="Normal 8" xfId="2647" xr:uid="{2F2CF689-7200-4E16-A9A7-C8D62F873C7A}"/>
    <cellStyle name="Normal 8 2" xfId="2648" xr:uid="{8716FE15-EE4D-47DA-9BDF-6BF7DDFABE5A}"/>
    <cellStyle name="Normal 8 2 2" xfId="2649" xr:uid="{9803CAA5-97C2-4B5B-8052-E2A54963D7CC}"/>
    <cellStyle name="Normal 8 2_Action plan - Tank" xfId="2650" xr:uid="{C20181FA-E6C9-43F3-8A36-EEA2C9CC4854}"/>
    <cellStyle name="Normal 8 3" xfId="2651" xr:uid="{687D29F3-8DBA-4F42-BD82-523FE8E76D26}"/>
    <cellStyle name="Normal 8 3 2" xfId="2652" xr:uid="{044C84F3-6160-4998-9EE4-EDC0482BE384}"/>
    <cellStyle name="Normal 8 4" xfId="2653" xr:uid="{6CDBFD1D-E3D7-4897-96A2-8426C4DEABBF}"/>
    <cellStyle name="Normal 8 7" xfId="2654" xr:uid="{FE7C6D74-927F-4356-B483-A9630A9F84AE}"/>
    <cellStyle name="Normal 8_Action plan - Tank" xfId="2655" xr:uid="{39D3BDF0-BDB2-4DC0-BCE9-AA7634704F7B}"/>
    <cellStyle name="Normal 9" xfId="2656" xr:uid="{FC04053D-D329-470A-9DBC-955371416336}"/>
    <cellStyle name="Normal 9 2" xfId="2657" xr:uid="{CFB47C21-4301-4D2A-A50A-8865AF81BBD9}"/>
    <cellStyle name="Normal 9 3" xfId="2658" xr:uid="{16B87940-F55E-4AD7-8860-F7F19F01FB8C}"/>
    <cellStyle name="Normal 9_Action plan - Tank" xfId="2659" xr:uid="{10C9E5BC-25BB-4AB5-8E2B-ED7C83B7857F}"/>
    <cellStyle name="Normale_Cartel1" xfId="2660" xr:uid="{0C1A17F7-4860-4439-859A-D562BFA2E409}"/>
    <cellStyle name="Normalny_QUOT455" xfId="2661" xr:uid="{4AFBCF0F-DC9A-4E90-BE9B-F83A0E2EC9D9}"/>
    <cellStyle name="Note 10" xfId="2662" xr:uid="{C9B56C50-29A5-4BC6-8D16-30F9B7D3469A}"/>
    <cellStyle name="Note 10 2" xfId="2663" xr:uid="{E090EFDA-7202-4EE8-BAAF-8E0D37C6EDA5}"/>
    <cellStyle name="Note 10 2 2" xfId="2664" xr:uid="{852E3475-7C00-44DC-8EF1-84B451DEB34B}"/>
    <cellStyle name="Note 10 2 2 2" xfId="2665" xr:uid="{ADC7D195-4D7F-498E-8ABC-2E76E7AD193A}"/>
    <cellStyle name="Note 10 2 2 3" xfId="2666" xr:uid="{71F8AFD7-16F4-4A3E-B900-A73880AFF636}"/>
    <cellStyle name="Note 10 2 2 4" xfId="2667" xr:uid="{B57B432B-FEA4-4582-A80E-163B4A0DB5E0}"/>
    <cellStyle name="Note 10 2 2 5" xfId="2668" xr:uid="{64E6E6B4-3411-44C4-AC20-5A760A084492}"/>
    <cellStyle name="Note 10 2 3" xfId="2669" xr:uid="{FEE9C225-0C53-411D-A9D8-F9F67B0EC964}"/>
    <cellStyle name="Note 10 2 3 2" xfId="2670" xr:uid="{31E65CDE-67D8-4292-BCC0-E0C3BA371526}"/>
    <cellStyle name="Note 10 2 3 3" xfId="2671" xr:uid="{DFB91BB8-A338-44D6-8FA0-544D7D285CF1}"/>
    <cellStyle name="Note 10 2 3 4" xfId="2672" xr:uid="{F1842E5A-AC1B-4D71-986F-D37EF5E967E6}"/>
    <cellStyle name="Note 10 2 3 5" xfId="2673" xr:uid="{A30B81D2-9B3A-4EAF-88E2-8F977E8051E0}"/>
    <cellStyle name="Note 10 2 4" xfId="2674" xr:uid="{650481B8-7F09-4753-B880-17EC43B5FA70}"/>
    <cellStyle name="Note 10 2 5" xfId="2675" xr:uid="{6636BBA5-F7DF-44C0-9405-A3AFC03DA150}"/>
    <cellStyle name="Note 10 2 6" xfId="2676" xr:uid="{1E15A7E5-0465-4D9D-A350-71EB90948FE5}"/>
    <cellStyle name="Note 10 2 7" xfId="2677" xr:uid="{2DADDD11-289D-4BD3-ADA6-9221EBF46B37}"/>
    <cellStyle name="Note 10 3" xfId="2678" xr:uid="{4222210A-53D2-45F2-9F1E-41AACF0E5588}"/>
    <cellStyle name="Note 10 3 2" xfId="2679" xr:uid="{C209F990-8BE8-427A-BA86-F66B229BEFF5}"/>
    <cellStyle name="Note 10 3 3" xfId="2680" xr:uid="{3EBEC97E-2B84-42C7-B285-48984EB6AEC7}"/>
    <cellStyle name="Note 10 3 4" xfId="2681" xr:uid="{6803B059-4EC3-442D-B656-C286724BECAA}"/>
    <cellStyle name="Note 10 3 5" xfId="2682" xr:uid="{A7DE22BB-F724-4B8B-ACD7-0645637787AE}"/>
    <cellStyle name="Note 10 4" xfId="2683" xr:uid="{A0D85907-B545-44C4-ABFC-951EC18CAAE0}"/>
    <cellStyle name="Note 10 4 2" xfId="2684" xr:uid="{A7DBF42C-B34D-4BC5-B547-845E82E7C220}"/>
    <cellStyle name="Note 10 4 3" xfId="2685" xr:uid="{710C78CC-8083-4CB6-B75B-EF24A46FF60C}"/>
    <cellStyle name="Note 10 4 4" xfId="2686" xr:uid="{9BB27699-B6FD-41F4-B7DF-8B4F4C52A471}"/>
    <cellStyle name="Note 10 4 5" xfId="2687" xr:uid="{63B25A02-7375-4F0D-ADDF-FD2D3CB1F1E6}"/>
    <cellStyle name="Note 10 5" xfId="2688" xr:uid="{5C90B78C-6882-41C8-A897-0EB273132ECF}"/>
    <cellStyle name="Note 10 6" xfId="2689" xr:uid="{FDF83839-D3F1-47F6-8AC4-77BE0A0E5806}"/>
    <cellStyle name="Note 10 7" xfId="2690" xr:uid="{1A9103B2-DC5F-4B63-8FA5-A9ED31828D71}"/>
    <cellStyle name="Note 10 8" xfId="2691" xr:uid="{06BA572D-FC30-4C93-923A-02BBF4E627EA}"/>
    <cellStyle name="Note 10_Action plan - Tank" xfId="2692" xr:uid="{9C3A8852-AB6A-4199-83B1-C6F62FDEE7F1}"/>
    <cellStyle name="Note 11" xfId="2693" xr:uid="{8D156645-B17E-4067-A8F5-2948542D3E65}"/>
    <cellStyle name="Note 11 2" xfId="2694" xr:uid="{F76A4E53-0D3C-49BF-B25B-C5728AEA2C06}"/>
    <cellStyle name="Note 11 2 2" xfId="2695" xr:uid="{849EB697-9D5E-4531-AD6C-C827146A0FB2}"/>
    <cellStyle name="Note 11 2 2 2" xfId="2696" xr:uid="{105F411E-806B-4DE8-AC75-5CDE09614E56}"/>
    <cellStyle name="Note 11 2 2 3" xfId="2697" xr:uid="{AFE895DC-2B8F-4760-BBE9-88D16BF4A418}"/>
    <cellStyle name="Note 11 2 2 4" xfId="2698" xr:uid="{E6738325-2528-4541-A9A4-8172ABC59FDC}"/>
    <cellStyle name="Note 11 2 2 5" xfId="2699" xr:uid="{2DF6FEDD-7760-41B6-B2B8-4F0A3D512608}"/>
    <cellStyle name="Note 11 2 3" xfId="2700" xr:uid="{5E060CA3-E501-4C27-BF37-7F42BFF2A7A6}"/>
    <cellStyle name="Note 11 2 3 2" xfId="2701" xr:uid="{12F21786-34EF-4C2F-96B0-C1FBA9599C8D}"/>
    <cellStyle name="Note 11 2 3 3" xfId="2702" xr:uid="{7C097B15-DE1D-4E98-BF58-DACBF45E3008}"/>
    <cellStyle name="Note 11 2 3 4" xfId="2703" xr:uid="{E2F95498-ED18-419C-A53D-D231EBB631B0}"/>
    <cellStyle name="Note 11 2 3 5" xfId="2704" xr:uid="{267332A4-4486-437E-8032-C0634DA92BF5}"/>
    <cellStyle name="Note 11 2 4" xfId="2705" xr:uid="{AA700652-CAA2-4C51-8BEE-846007EFFF1C}"/>
    <cellStyle name="Note 11 2 5" xfId="2706" xr:uid="{A304CA98-6F41-4A11-A178-72C85127C9B5}"/>
    <cellStyle name="Note 11 2 6" xfId="2707" xr:uid="{FE02CCE2-328A-4614-9C61-547CA6486EEC}"/>
    <cellStyle name="Note 11 2 7" xfId="2708" xr:uid="{AC64029A-DEBE-4312-A913-C8DDA40B82B0}"/>
    <cellStyle name="Note 11 3" xfId="2709" xr:uid="{BD5228B2-0207-4E98-9BC9-4EF1E09772A8}"/>
    <cellStyle name="Note 11 3 2" xfId="2710" xr:uid="{44F2CB24-0AA1-47C4-991D-6E931A29A5A3}"/>
    <cellStyle name="Note 11 3 3" xfId="2711" xr:uid="{8637641D-AB6A-425C-BE7D-A67FAD78DB04}"/>
    <cellStyle name="Note 11 3 4" xfId="2712" xr:uid="{2D9A39DD-2571-47AC-B62E-74B771046846}"/>
    <cellStyle name="Note 11 3 5" xfId="2713" xr:uid="{AA01C286-FB26-4708-BBA6-1F8D7E685539}"/>
    <cellStyle name="Note 11 4" xfId="2714" xr:uid="{75570AE9-AD2F-4A68-9BE4-8923ACC5ADE4}"/>
    <cellStyle name="Note 11 4 2" xfId="2715" xr:uid="{03EF602A-841E-4AB2-99A2-E5AD6ED02566}"/>
    <cellStyle name="Note 11 4 3" xfId="2716" xr:uid="{74742100-EE0F-46B8-91E6-ABDF48F6C3EC}"/>
    <cellStyle name="Note 11 4 4" xfId="2717" xr:uid="{3BB53057-9A21-4B19-B9C7-A459EC11C5E8}"/>
    <cellStyle name="Note 11 4 5" xfId="2718" xr:uid="{DC89008F-EFE2-4AFC-9EB7-B5B63A3CDD67}"/>
    <cellStyle name="Note 11 5" xfId="2719" xr:uid="{17994A24-91BE-46BB-A55B-630DA7B15683}"/>
    <cellStyle name="Note 11 6" xfId="2720" xr:uid="{9A3B1BD2-A6A4-46C8-95F8-7975EF871002}"/>
    <cellStyle name="Note 11 7" xfId="2721" xr:uid="{2B2B4050-D52D-48F4-8ACB-4312310D9B35}"/>
    <cellStyle name="Note 11 8" xfId="2722" xr:uid="{9C8FF502-79BA-4725-A7AC-EE7BC3EEBAE8}"/>
    <cellStyle name="Note 11_Action plan - Tank" xfId="2723" xr:uid="{725FFE26-3CC5-4F50-BAC7-F2CB854E5650}"/>
    <cellStyle name="Note 12" xfId="2724" xr:uid="{1337501B-CA9C-4BF0-8614-5C49328EA7AC}"/>
    <cellStyle name="Note 12 2" xfId="2725" xr:uid="{05965360-F7AF-4DF3-BAD9-80E6C4B1C703}"/>
    <cellStyle name="Note 12 2 2" xfId="2726" xr:uid="{3C7F31F8-ADCF-41D1-A041-57E81BD6C8C1}"/>
    <cellStyle name="Note 12 2 2 2" xfId="2727" xr:uid="{7737E9D6-2904-4D0F-AD7E-9A557093B9BB}"/>
    <cellStyle name="Note 12 2 2 3" xfId="2728" xr:uid="{05FE77B2-EC91-45D7-9496-1EA585104078}"/>
    <cellStyle name="Note 12 2 2 4" xfId="2729" xr:uid="{9DA804CB-FD01-4B44-989B-09BC83DB7875}"/>
    <cellStyle name="Note 12 2 2 5" xfId="2730" xr:uid="{6149CFD8-C95E-4F4D-9967-4B6B42548B9D}"/>
    <cellStyle name="Note 12 2 3" xfId="2731" xr:uid="{B4303A21-5611-4F02-8048-CBBC56CC231D}"/>
    <cellStyle name="Note 12 2 3 2" xfId="2732" xr:uid="{B7719126-5485-417F-B20D-0BEE57715679}"/>
    <cellStyle name="Note 12 2 3 3" xfId="2733" xr:uid="{78B30590-DB18-4B1E-B0B4-1E794E9CA52C}"/>
    <cellStyle name="Note 12 2 3 4" xfId="2734" xr:uid="{19F20683-8C99-4E69-8740-D92795250D9F}"/>
    <cellStyle name="Note 12 2 3 5" xfId="2735" xr:uid="{55E9F14A-0E12-4259-AE79-5CD49963347A}"/>
    <cellStyle name="Note 12 2 4" xfId="2736" xr:uid="{DBBCC6A6-ADF5-46F5-BB4B-1ADD39BD9444}"/>
    <cellStyle name="Note 12 2 5" xfId="2737" xr:uid="{0C7552CB-B30C-4E87-84B0-3170ABCB238E}"/>
    <cellStyle name="Note 12 2 6" xfId="2738" xr:uid="{1F858D11-D12D-45DC-8F72-6C9ADC09692A}"/>
    <cellStyle name="Note 12 2 7" xfId="2739" xr:uid="{A974EC8F-F163-4F10-AF38-25EEDAC6CB81}"/>
    <cellStyle name="Note 12 3" xfId="2740" xr:uid="{4F113C3C-2A75-4767-94D7-9107ECDC757B}"/>
    <cellStyle name="Note 12 3 2" xfId="2741" xr:uid="{3BB9FC28-79D7-4B8A-B7D8-5DA71AD98CAC}"/>
    <cellStyle name="Note 12 3 3" xfId="2742" xr:uid="{8A598F25-38D3-4A5C-A315-2F0D6F617393}"/>
    <cellStyle name="Note 12 3 4" xfId="2743" xr:uid="{893AD4DD-0FEC-4020-B357-29B73485FBF2}"/>
    <cellStyle name="Note 12 3 5" xfId="2744" xr:uid="{25CD437D-C0BE-454D-9F1A-A2017515B00A}"/>
    <cellStyle name="Note 12 4" xfId="2745" xr:uid="{32763CD0-BC29-4FAE-962B-CC74973E2DFA}"/>
    <cellStyle name="Note 12 4 2" xfId="2746" xr:uid="{38332086-450A-4990-AB43-237FDC2D47A6}"/>
    <cellStyle name="Note 12 4 3" xfId="2747" xr:uid="{7624A1B0-1650-45CF-B9C7-373EF38FFCA8}"/>
    <cellStyle name="Note 12 4 4" xfId="2748" xr:uid="{7A35A8FC-20DE-4145-8722-252D3F1B0A01}"/>
    <cellStyle name="Note 12 4 5" xfId="2749" xr:uid="{9D6F4F2B-C09C-40D3-90B2-852765FD8464}"/>
    <cellStyle name="Note 12 5" xfId="2750" xr:uid="{885003BB-1113-406C-A04E-F199F1254041}"/>
    <cellStyle name="Note 12 6" xfId="2751" xr:uid="{3EC9432C-7FB6-40CB-8965-CCD1F65F0BEE}"/>
    <cellStyle name="Note 12 7" xfId="2752" xr:uid="{3CEE70F8-5C47-4781-B02C-55519B111E98}"/>
    <cellStyle name="Note 12 8" xfId="2753" xr:uid="{631A69B1-B2CE-45BD-9319-B3F83D159BAD}"/>
    <cellStyle name="Note 12_Action plan - Tank" xfId="2754" xr:uid="{5E698E62-B5DA-49A4-BF62-99A8E906F48C}"/>
    <cellStyle name="Note 13" xfId="2755" xr:uid="{56A15771-BEE9-4772-B7DC-4C01B2250F83}"/>
    <cellStyle name="Note 13 2" xfId="2756" xr:uid="{905D3566-30DF-4678-9E21-4B43B720A9B6}"/>
    <cellStyle name="Note 13 2 2" xfId="2757" xr:uid="{94599C7E-DD05-4289-8E79-07D8F8C49404}"/>
    <cellStyle name="Note 13 2 2 2" xfId="2758" xr:uid="{66E1C81E-5B11-498C-A340-3529DC5F1BEF}"/>
    <cellStyle name="Note 13 2 2 3" xfId="2759" xr:uid="{346947E2-ECD6-4422-A417-CCC45DBF7151}"/>
    <cellStyle name="Note 13 2 2 4" xfId="2760" xr:uid="{1DEEDE0F-8BD2-4BBB-808E-BD936BAB35E6}"/>
    <cellStyle name="Note 13 2 2 5" xfId="2761" xr:uid="{C0D2636A-238F-46B0-AD7A-6D2493DD7217}"/>
    <cellStyle name="Note 13 2 3" xfId="2762" xr:uid="{7790ED3C-4561-4F92-AF5D-4A6538BA57C0}"/>
    <cellStyle name="Note 13 2 3 2" xfId="2763" xr:uid="{16B842AD-32AC-43F2-BFC8-E58E8DB455C8}"/>
    <cellStyle name="Note 13 2 3 3" xfId="2764" xr:uid="{823CBF0A-6587-41A8-8622-E7711D8DFEC5}"/>
    <cellStyle name="Note 13 2 3 4" xfId="2765" xr:uid="{CBD69A5A-A858-449F-8ADF-38EFC3D8788D}"/>
    <cellStyle name="Note 13 2 3 5" xfId="2766" xr:uid="{8F796AA4-0334-4837-9BAE-3715451C6D7C}"/>
    <cellStyle name="Note 13 2 4" xfId="2767" xr:uid="{9A752E6B-A5F4-4354-A380-4902889982E7}"/>
    <cellStyle name="Note 13 2 5" xfId="2768" xr:uid="{CC837A3B-001F-420A-88AB-B00F5F032D29}"/>
    <cellStyle name="Note 13 2 6" xfId="2769" xr:uid="{19EF4D81-4E5A-4B02-93AD-1B708CEF5A75}"/>
    <cellStyle name="Note 13 2 7" xfId="2770" xr:uid="{ADD9523F-4974-4D60-91DA-D1BA4E236DF9}"/>
    <cellStyle name="Note 13 3" xfId="2771" xr:uid="{7A5F6B14-BD43-486B-BA1B-0843390359F3}"/>
    <cellStyle name="Note 13 3 2" xfId="2772" xr:uid="{3507D31D-69EF-4B27-A67B-3275D985072B}"/>
    <cellStyle name="Note 13 3 3" xfId="2773" xr:uid="{4583FCB8-0EBC-40F1-B164-17E5AE45336A}"/>
    <cellStyle name="Note 13 3 4" xfId="2774" xr:uid="{F913D624-6ABC-4E4D-8C9F-D11BB63282F0}"/>
    <cellStyle name="Note 13 3 5" xfId="2775" xr:uid="{84B15F69-5F12-499A-8D56-50847BB1A318}"/>
    <cellStyle name="Note 13 4" xfId="2776" xr:uid="{9FEC6011-B2A2-42A1-B39E-5C05323D20D1}"/>
    <cellStyle name="Note 13 4 2" xfId="2777" xr:uid="{6D82756C-BF55-4671-8FD3-3AE70B63D1C3}"/>
    <cellStyle name="Note 13 4 3" xfId="2778" xr:uid="{B6761BE7-5DF9-4784-9AAB-A03986611094}"/>
    <cellStyle name="Note 13 4 4" xfId="2779" xr:uid="{441B02D8-1018-4053-84FC-702BF8A8FCF8}"/>
    <cellStyle name="Note 13 4 5" xfId="2780" xr:uid="{6DE3D5CE-DF8C-416A-A304-23A212938314}"/>
    <cellStyle name="Note 13 5" xfId="2781" xr:uid="{EE846DF6-6C0B-41B1-8BA3-B65832A43BA0}"/>
    <cellStyle name="Note 13 6" xfId="2782" xr:uid="{0685190B-A2A6-474D-8D73-AF39C74AE11F}"/>
    <cellStyle name="Note 13 7" xfId="2783" xr:uid="{F65765E9-EBED-40E1-B21D-B054F27D4604}"/>
    <cellStyle name="Note 13 8" xfId="2784" xr:uid="{AFC9B523-537A-4DFE-8D31-B40E44E69CA9}"/>
    <cellStyle name="Note 13_Action plan - Tank" xfId="2785" xr:uid="{78EBDD46-292E-4BB3-99A6-A42C27B99586}"/>
    <cellStyle name="Note 14" xfId="2786" xr:uid="{B97BB4B5-4232-4102-8C71-08EE6E3D4852}"/>
    <cellStyle name="Note 15" xfId="2787" xr:uid="{3BBB1E57-1735-4675-B565-8E60A6FE8BAE}"/>
    <cellStyle name="Note 16" xfId="3807" xr:uid="{81145AAD-1287-41D7-9416-CC3BDF256979}"/>
    <cellStyle name="Note 17" xfId="3813" xr:uid="{00F335F1-6430-4471-BD1D-A5791747BFD6}"/>
    <cellStyle name="Note 18" xfId="3818" xr:uid="{8E9F0FED-F0C1-4698-8249-2E819D62F779}"/>
    <cellStyle name="Note 2" xfId="2788" xr:uid="{D8105ED8-2FE1-4428-A701-9178CC68E436}"/>
    <cellStyle name="Note 2 2" xfId="2789" xr:uid="{944A94CA-B5AB-4961-A013-E03DDF86369B}"/>
    <cellStyle name="Note 2 2 2" xfId="2790" xr:uid="{A3FEFA11-7852-403E-9E85-B29F50F42D3A}"/>
    <cellStyle name="Note 2 2 2 2" xfId="2791" xr:uid="{67F802F4-60EE-407C-900F-784BF77E5A1A}"/>
    <cellStyle name="Note 2 2 2 2 2" xfId="2792" xr:uid="{722AB78F-5269-48B9-B7D8-6A4D5CE56B82}"/>
    <cellStyle name="Note 2 2 2 2 3" xfId="2793" xr:uid="{83E37170-ECD3-4DA8-B24B-9407DDC7D42C}"/>
    <cellStyle name="Note 2 2 2 2 4" xfId="2794" xr:uid="{7A50B19E-699A-4594-B506-F27C4FDCE54E}"/>
    <cellStyle name="Note 2 2 2 2 5" xfId="2795" xr:uid="{0F0538AA-C0C8-462D-A498-BCB25295F873}"/>
    <cellStyle name="Note 2 2 2 3" xfId="2796" xr:uid="{60C1FFAF-96BE-4927-B37E-2E4358EFA203}"/>
    <cellStyle name="Note 2 2 2 4" xfId="2797" xr:uid="{6F25C707-8D27-4E1B-8FD2-33307898DAA8}"/>
    <cellStyle name="Note 2 2 2 5" xfId="2798" xr:uid="{B5449D30-D686-4E4E-A6A7-17A35897CF6D}"/>
    <cellStyle name="Note 2 2 2 6" xfId="2799" xr:uid="{E6BFE4C2-58C7-40A5-86A5-D38657EC2CCE}"/>
    <cellStyle name="Note 2 2 3" xfId="2800" xr:uid="{EEF735CF-F109-4B52-AA03-91BCE668B9E3}"/>
    <cellStyle name="Note 2 2 3 2" xfId="2801" xr:uid="{D5CB7B02-A34F-4408-989B-F4AFEC8B12B0}"/>
    <cellStyle name="Note 2 2 3 3" xfId="2802" xr:uid="{F4F76B54-76D9-40FE-98F3-0B0841E7BA6D}"/>
    <cellStyle name="Note 2 2 3 4" xfId="2803" xr:uid="{C074CD81-745F-441C-B039-EB1EFDA5B893}"/>
    <cellStyle name="Note 2 2 3 5" xfId="2804" xr:uid="{DC311C8B-595C-4CFE-96E8-0F7860940C5B}"/>
    <cellStyle name="Note 2 2_Action plan - Tank" xfId="2805" xr:uid="{CCAB6009-446D-4B63-AAF4-2B7023303D62}"/>
    <cellStyle name="Note 2 3" xfId="2806" xr:uid="{3A8F1F6C-5BBD-4C4C-8122-A6C33F2E90FA}"/>
    <cellStyle name="Note 2 3 2" xfId="2807" xr:uid="{F1FFAF59-AD4C-44AD-B954-8B16B9167252}"/>
    <cellStyle name="Note 2 3 2 2" xfId="2808" xr:uid="{9BBDC09E-340A-4E30-A37D-B27DEE8B5434}"/>
    <cellStyle name="Note 2 3 2 3" xfId="2809" xr:uid="{70B70AF2-2DC4-418A-AFAC-998ECE7EA5C3}"/>
    <cellStyle name="Note 2 3 2 4" xfId="2810" xr:uid="{7373CB0B-9DFD-4B79-AE0F-87C294CDF193}"/>
    <cellStyle name="Note 2 3 2 5" xfId="2811" xr:uid="{1417A23C-CB4C-4203-8703-5CEDA7B7097F}"/>
    <cellStyle name="Note 2 3 3" xfId="2812" xr:uid="{79421918-2C55-4141-A5CE-6BEE6C726A8A}"/>
    <cellStyle name="Note 2 3 3 2" xfId="2813" xr:uid="{3FA39841-5ADA-4C5E-AECF-5D0A2D36D384}"/>
    <cellStyle name="Note 2 3 3 3" xfId="2814" xr:uid="{618E29A0-EB2A-4443-BCA2-7895EDD75419}"/>
    <cellStyle name="Note 2 3 3 4" xfId="2815" xr:uid="{3336B0C6-09A2-4D6E-BFE6-F5017DFC9179}"/>
    <cellStyle name="Note 2 3 3 5" xfId="2816" xr:uid="{DA2D8F4A-A87C-414D-9C4C-CB4CEA45CA34}"/>
    <cellStyle name="Note 2 3 4" xfId="2817" xr:uid="{E2B17920-9AAD-4D1C-85C7-260B4F82C983}"/>
    <cellStyle name="Note 2 3 5" xfId="2818" xr:uid="{9F3FA7A1-E8E1-456B-8A8E-1F1A437F3F8C}"/>
    <cellStyle name="Note 2 3 6" xfId="2819" xr:uid="{C24535BF-EC2D-4241-B159-E76A39781825}"/>
    <cellStyle name="Note 2 3 7" xfId="2820" xr:uid="{8FA7EDDD-8CD7-4419-A750-0FD4DC398B29}"/>
    <cellStyle name="Note 2 4" xfId="2821" xr:uid="{197908AE-061D-4406-8698-B9EED4FA67C5}"/>
    <cellStyle name="Note 2 4 2" xfId="2822" xr:uid="{55B0A18A-F4A5-487D-92DA-8E7A74CFC54F}"/>
    <cellStyle name="Note 2 4 3" xfId="2823" xr:uid="{02745EC7-0A5F-44B2-BC9F-F62387B40AA7}"/>
    <cellStyle name="Note 2 4 4" xfId="2824" xr:uid="{E7AA220D-B36C-42B0-84E0-0FEE9C43EEC6}"/>
    <cellStyle name="Note 2 4 5" xfId="2825" xr:uid="{0C8C3434-239D-4038-871D-ACE02A7F27C5}"/>
    <cellStyle name="Note 2_2.Control Points-Prabu-2012-13" xfId="2826" xr:uid="{DB3791C8-86BA-4FC7-810F-E1F12D6525E6}"/>
    <cellStyle name="Note 3" xfId="2827" xr:uid="{0FF0813F-C018-493A-A106-4CBB0821A1B5}"/>
    <cellStyle name="Note 3 2" xfId="2828" xr:uid="{DBA252AB-61FE-420A-8D45-45F4897CA72B}"/>
    <cellStyle name="Note 3 2 2" xfId="2829" xr:uid="{E7BE51ED-7D07-4BB0-9B01-45BFA40CE682}"/>
    <cellStyle name="Note 3 2 2 2" xfId="2830" xr:uid="{E54AAB72-0FEC-4E27-B458-1DAAC1155625}"/>
    <cellStyle name="Note 3 2 2 3" xfId="2831" xr:uid="{11B4F57C-4C05-4663-9E69-AD83C1F04511}"/>
    <cellStyle name="Note 3 2 2 4" xfId="2832" xr:uid="{0CA731FB-E5B0-4845-A35E-13F004C62837}"/>
    <cellStyle name="Note 3 2 2 5" xfId="2833" xr:uid="{2D6385E0-D4B2-4231-B055-66E5F364E7E4}"/>
    <cellStyle name="Note 3 2 3" xfId="2834" xr:uid="{24518606-FE57-43E8-AD13-960CC793E3DF}"/>
    <cellStyle name="Note 3 2 3 2" xfId="2835" xr:uid="{845BFE55-2DB4-47DF-9ACA-6177B294A549}"/>
    <cellStyle name="Note 3 2 3 3" xfId="2836" xr:uid="{72056688-3DA3-4703-9338-0799E0F599A0}"/>
    <cellStyle name="Note 3 2 3 4" xfId="2837" xr:uid="{C1BFC372-89A7-4C52-91D0-1C4896727CB9}"/>
    <cellStyle name="Note 3 2 3 5" xfId="2838" xr:uid="{F5483DBC-5E3D-4CA5-AFBF-F0750B549DEC}"/>
    <cellStyle name="Note 3 3" xfId="2839" xr:uid="{5730AC58-5AF0-44F5-9DC7-31B5C3946947}"/>
    <cellStyle name="Note 3 3 2" xfId="2840" xr:uid="{F4B780BE-3408-4135-BF01-E552C4EB1139}"/>
    <cellStyle name="Note 3 3 3" xfId="2841" xr:uid="{71C4A30D-E688-43DB-87B0-F520AAFA4224}"/>
    <cellStyle name="Note 3 3 4" xfId="2842" xr:uid="{A939D51B-AB25-470B-B713-BA9DD95273DA}"/>
    <cellStyle name="Note 3 3 5" xfId="2843" xr:uid="{DCE937C6-5BA8-4235-B346-0D44C7D8B315}"/>
    <cellStyle name="Note 3 4" xfId="2844" xr:uid="{5BB8AAFB-9209-4368-8D53-1FEF0B213A60}"/>
    <cellStyle name="Note 3 4 2" xfId="2845" xr:uid="{EB2CCEEE-12EF-4592-AAF8-D7CF4ABC6618}"/>
    <cellStyle name="Note 3 4 3" xfId="2846" xr:uid="{297B73EE-1311-4FC2-82D0-BDD9A9212E92}"/>
    <cellStyle name="Note 3 4 4" xfId="2847" xr:uid="{B6451242-BE1F-4FFE-8388-5F29FAB96F03}"/>
    <cellStyle name="Note 3 4 5" xfId="2848" xr:uid="{A2D94EDF-002B-49F9-B194-5AF45252869F}"/>
    <cellStyle name="Note 3_Action plan - Tank" xfId="2849" xr:uid="{56DCB232-5341-4147-80DD-1A2AD1D5D6CA}"/>
    <cellStyle name="Note 4" xfId="2850" xr:uid="{5E2E5F5C-4156-4BB1-8828-6F6E5D81E04C}"/>
    <cellStyle name="Note 4 2" xfId="2851" xr:uid="{59AFDB9B-C535-4FC0-B924-5E52EF2D9DEE}"/>
    <cellStyle name="Note 4 2 2" xfId="2852" xr:uid="{B45311F6-F88D-4790-AF76-DBDF9BDA7A13}"/>
    <cellStyle name="Note 4 2 2 2" xfId="2853" xr:uid="{6F48AAAE-0DEA-4E0C-9E1D-6E158F12A767}"/>
    <cellStyle name="Note 4 2 2 3" xfId="2854" xr:uid="{ADFCD472-3B34-44B7-A51D-5D33651674D3}"/>
    <cellStyle name="Note 4 2 2 4" xfId="2855" xr:uid="{F20A94E6-D18D-4350-9CBF-9A9F3BC85EB8}"/>
    <cellStyle name="Note 4 2 2 5" xfId="2856" xr:uid="{6DB0A97F-FDF1-4569-90B6-7D6A3BEF1155}"/>
    <cellStyle name="Note 4 2 3" xfId="2857" xr:uid="{D806B33B-D112-4349-BBC7-D2CA96416927}"/>
    <cellStyle name="Note 4 2 3 2" xfId="2858" xr:uid="{E8AC08B4-D9E9-4C08-9FFE-7CC45C15E73E}"/>
    <cellStyle name="Note 4 2 3 3" xfId="2859" xr:uid="{328186B0-CE81-4012-A4B0-820B2DD42440}"/>
    <cellStyle name="Note 4 2 3 4" xfId="2860" xr:uid="{1AAA7F74-3876-4AD5-BA7E-9A46DDE58325}"/>
    <cellStyle name="Note 4 2 3 5" xfId="2861" xr:uid="{93136748-FE37-4FBE-80A5-92B583757448}"/>
    <cellStyle name="Note 4 3" xfId="2862" xr:uid="{F8591620-7CDE-43FD-994D-AA439031274B}"/>
    <cellStyle name="Note 4 3 2" xfId="2863" xr:uid="{0220A062-3317-4A72-82DA-C69DF1FF4622}"/>
    <cellStyle name="Note 4 3 3" xfId="2864" xr:uid="{D3F0CDD0-72A8-416A-8DDA-04B9C29D4CED}"/>
    <cellStyle name="Note 4 3 4" xfId="2865" xr:uid="{055CCDCD-29BE-4BCA-A124-86B1D4FEEC1C}"/>
    <cellStyle name="Note 4 3 5" xfId="2866" xr:uid="{EFD47C35-B6A1-4249-9B60-410C9FE17EC9}"/>
    <cellStyle name="Note 4 4" xfId="2867" xr:uid="{CBBA5AF5-72A8-484B-8E88-06B96D8BC01C}"/>
    <cellStyle name="Note 4 4 2" xfId="2868" xr:uid="{8E7DFB15-AD28-43DD-A165-E69B53EDC2B7}"/>
    <cellStyle name="Note 4 4 3" xfId="2869" xr:uid="{3F902579-0308-41DC-9D4F-BB71DD42C470}"/>
    <cellStyle name="Note 4 4 4" xfId="2870" xr:uid="{270B5C65-9C86-4C65-A462-1B81EA7E5830}"/>
    <cellStyle name="Note 4 4 5" xfId="2871" xr:uid="{89047B75-EC3D-460B-9060-1AF969FD79A6}"/>
    <cellStyle name="Note 4_Action plan - Tank" xfId="2872" xr:uid="{EC88C785-A63A-407C-835C-22BD95D8B0CA}"/>
    <cellStyle name="Note 5" xfId="2873" xr:uid="{261EBA90-3711-4D3B-861B-2BF1D5ACBAB1}"/>
    <cellStyle name="Note 5 2" xfId="2874" xr:uid="{60F30EF8-2E54-4F6D-8411-793D378BD87B}"/>
    <cellStyle name="Note 5 2 2" xfId="2875" xr:uid="{AB7CAD3B-3954-4750-8C8A-2FEF997E4313}"/>
    <cellStyle name="Note 5 2 2 2" xfId="2876" xr:uid="{9A6E38F0-C08F-4195-ACD1-7721033EA68C}"/>
    <cellStyle name="Note 5 2 2 3" xfId="2877" xr:uid="{42F188A7-FFD5-400A-AA51-768D0217E41A}"/>
    <cellStyle name="Note 5 2 2 4" xfId="2878" xr:uid="{CE102900-D88B-4438-A3FA-C237C286F49C}"/>
    <cellStyle name="Note 5 2 2 5" xfId="2879" xr:uid="{6F00AEEB-EF99-4A92-AB21-7C884ECDA630}"/>
    <cellStyle name="Note 5 2 3" xfId="2880" xr:uid="{AF81E6C3-290F-459D-9C8B-97622C6D61B6}"/>
    <cellStyle name="Note 5 2 3 2" xfId="2881" xr:uid="{97C9D586-9A28-4BD5-9EE5-C3DD8F634641}"/>
    <cellStyle name="Note 5 2 3 3" xfId="2882" xr:uid="{934C9C04-F294-414D-85E1-D81921383CE9}"/>
    <cellStyle name="Note 5 2 3 4" xfId="2883" xr:uid="{9F9F7E9F-3652-4865-9DB7-567E1952DDC9}"/>
    <cellStyle name="Note 5 2 3 5" xfId="2884" xr:uid="{ED6A10E4-1655-4B38-BDC0-6010D506C131}"/>
    <cellStyle name="Note 5 3" xfId="2885" xr:uid="{857AA42D-D327-4605-9B33-B00558FD333E}"/>
    <cellStyle name="Note 5 3 2" xfId="2886" xr:uid="{DE215E8F-3A48-4E0D-9DC5-90C8D1AB62DC}"/>
    <cellStyle name="Note 5 3 3" xfId="2887" xr:uid="{60C92C13-BFC0-4CA4-BCC9-34088B186D00}"/>
    <cellStyle name="Note 5 3 4" xfId="2888" xr:uid="{D449B445-38BB-4CBD-9618-452B9EEFA5E2}"/>
    <cellStyle name="Note 5 3 5" xfId="2889" xr:uid="{5A02DAFB-84A2-4179-896D-657E358EB70F}"/>
    <cellStyle name="Note 5 4" xfId="2890" xr:uid="{3A41910D-3A39-4640-BAA5-3D2EBA7B370F}"/>
    <cellStyle name="Note 5 4 2" xfId="2891" xr:uid="{D6483AA2-F44E-4C71-B89C-50909A8DD605}"/>
    <cellStyle name="Note 5 4 3" xfId="2892" xr:uid="{FAD8560C-3F65-4504-8C2D-98095FA961B9}"/>
    <cellStyle name="Note 5 4 4" xfId="2893" xr:uid="{1A11A044-2407-4FB4-BCE2-F0E9461CD975}"/>
    <cellStyle name="Note 5 4 5" xfId="2894" xr:uid="{54FC6427-EE9C-41ED-9914-836EB821E500}"/>
    <cellStyle name="Note 5_Action plan - Tank" xfId="2895" xr:uid="{E78D9053-BC9A-490E-96EC-4E0839E36192}"/>
    <cellStyle name="Note 6" xfId="2896" xr:uid="{A7BCB287-FFB1-4873-AFF6-4CD50A04552B}"/>
    <cellStyle name="Note 6 2" xfId="2897" xr:uid="{B4E49342-DE41-4E71-95FC-29C841FB0FDA}"/>
    <cellStyle name="Note 6 2 2" xfId="2898" xr:uid="{A4DF75AA-C182-434A-9CCF-ABB0E74FE5B4}"/>
    <cellStyle name="Note 6 2 2 2" xfId="2899" xr:uid="{B38B1772-12FA-4A20-917F-375299E11707}"/>
    <cellStyle name="Note 6 2 2 3" xfId="2900" xr:uid="{C99705FB-5CBF-4FDC-AB9D-35DB32FD7AAA}"/>
    <cellStyle name="Note 6 2 2 4" xfId="2901" xr:uid="{1EF8F55E-EAFE-4A8C-AC14-75876BE43908}"/>
    <cellStyle name="Note 6 2 2 5" xfId="2902" xr:uid="{D1349811-9D21-474E-A93A-4A8177B1FD48}"/>
    <cellStyle name="Note 6 2 3" xfId="2903" xr:uid="{73199A3C-A068-468C-9E1F-79AEE7E7C4AD}"/>
    <cellStyle name="Note 6 2 3 2" xfId="2904" xr:uid="{DF3CDF70-B322-4B22-88C3-0B453EB4D852}"/>
    <cellStyle name="Note 6 2 3 3" xfId="2905" xr:uid="{C1842D51-B1EE-4309-AD07-C55EDD0904C4}"/>
    <cellStyle name="Note 6 2 3 4" xfId="2906" xr:uid="{F8E6B100-0A89-442E-ADEA-8A6DF363ADB9}"/>
    <cellStyle name="Note 6 2 3 5" xfId="2907" xr:uid="{189839B4-E418-4648-A9BB-E3F6F7F33712}"/>
    <cellStyle name="Note 6 2 4" xfId="2908" xr:uid="{4618A267-78B7-427D-B593-63D17B79EEDA}"/>
    <cellStyle name="Note 6 2 5" xfId="2909" xr:uid="{DF0AFE7B-2217-4C81-8E2D-27120E4CF489}"/>
    <cellStyle name="Note 6 2 6" xfId="2910" xr:uid="{78995F50-D037-4C97-B2E4-7219FD8AD034}"/>
    <cellStyle name="Note 6 2 7" xfId="2911" xr:uid="{8857A5D8-378D-4F74-9983-2497FB634DC4}"/>
    <cellStyle name="Note 6 3" xfId="2912" xr:uid="{C8D25EF3-31AA-4FDD-8687-394743B1E6F5}"/>
    <cellStyle name="Note 6 3 2" xfId="2913" xr:uid="{8EFDF701-90E0-4D67-8486-DCE8DC6671BC}"/>
    <cellStyle name="Note 6 3 3" xfId="2914" xr:uid="{EC73B3FC-AF51-4624-8CAA-C5683D985C99}"/>
    <cellStyle name="Note 6 3 4" xfId="2915" xr:uid="{8ED8798A-4409-44A1-AAA6-2645D97F934A}"/>
    <cellStyle name="Note 6 3 5" xfId="2916" xr:uid="{69BD2AAE-F497-4A02-BDCD-FE4A2E25F58E}"/>
    <cellStyle name="Note 6 4" xfId="2917" xr:uid="{C789C276-5018-471C-A25B-F830ED5CEEBF}"/>
    <cellStyle name="Note 6 4 2" xfId="2918" xr:uid="{3F4C7B4A-73B7-418A-A3E6-F2767F448E6D}"/>
    <cellStyle name="Note 6 4 3" xfId="2919" xr:uid="{877C8626-AA84-4979-A320-578369C6446D}"/>
    <cellStyle name="Note 6 4 4" xfId="2920" xr:uid="{04227A04-409E-43D7-912B-A15A528C4957}"/>
    <cellStyle name="Note 6 4 5" xfId="2921" xr:uid="{BF989BF1-3843-49E5-8DDC-BF89DA4A0CFB}"/>
    <cellStyle name="Note 6 5" xfId="2922" xr:uid="{3C3DA8E3-9F24-4586-B40E-841F6186EC39}"/>
    <cellStyle name="Note 6 6" xfId="2923" xr:uid="{B26423C9-3787-47B9-BE78-6A7BDCF3757E}"/>
    <cellStyle name="Note 6 7" xfId="2924" xr:uid="{5115C350-68BF-4C9F-AB01-781DB860DDF0}"/>
    <cellStyle name="Note 6 8" xfId="2925" xr:uid="{B2E4E473-1C09-4D54-A542-947F0CCF1D75}"/>
    <cellStyle name="Note 6_Action plan - Tank" xfId="2926" xr:uid="{D7A3C23E-C63A-4801-A2E1-5EB0D52DF0B5}"/>
    <cellStyle name="Note 7" xfId="2927" xr:uid="{F49365B3-AC62-4E78-8A2F-EF5A666AE2F1}"/>
    <cellStyle name="Note 7 2" xfId="2928" xr:uid="{C265EFED-1484-4A5A-A34C-A7D48E0C5344}"/>
    <cellStyle name="Note 7 2 2" xfId="2929" xr:uid="{5C59B73A-43CA-419A-A095-A7A90AB44D4C}"/>
    <cellStyle name="Note 7 2 2 2" xfId="2930" xr:uid="{71ECC4B4-255E-4238-8CA5-B48EF3AAC9AC}"/>
    <cellStyle name="Note 7 2 2 3" xfId="2931" xr:uid="{EDDB7529-DC61-4824-B5DF-CF3673FFE7D6}"/>
    <cellStyle name="Note 7 2 2 4" xfId="2932" xr:uid="{901A61B0-DE84-43E3-A979-55ABF71CF2D9}"/>
    <cellStyle name="Note 7 2 2 5" xfId="2933" xr:uid="{45351904-2EAC-4FAE-B4A5-8C9234F07A3D}"/>
    <cellStyle name="Note 7 2 3" xfId="2934" xr:uid="{BB84BE04-0CB6-4DE2-9797-5571A1CECB36}"/>
    <cellStyle name="Note 7 2 3 2" xfId="2935" xr:uid="{9B82B83B-5560-4C2D-905D-BBDBC9EEFD15}"/>
    <cellStyle name="Note 7 2 3 3" xfId="2936" xr:uid="{443A0F6E-3E26-43C8-9948-B9135C6F442B}"/>
    <cellStyle name="Note 7 2 3 4" xfId="2937" xr:uid="{C98D9A11-D92B-4F76-955B-91AB58F49E21}"/>
    <cellStyle name="Note 7 2 3 5" xfId="2938" xr:uid="{00A62B60-B23E-4029-9147-7261F1105A8D}"/>
    <cellStyle name="Note 7 2 4" xfId="2939" xr:uid="{ACFF0D45-9908-4FDC-B070-7C422C59276D}"/>
    <cellStyle name="Note 7 2 5" xfId="2940" xr:uid="{CCFF1635-1ECD-4C7C-8009-64F326C1922A}"/>
    <cellStyle name="Note 7 2 6" xfId="2941" xr:uid="{B218D7C2-538C-4641-97D9-F6B3C7C80896}"/>
    <cellStyle name="Note 7 2 7" xfId="2942" xr:uid="{FE2BEFFC-3715-4278-9B66-492D3591347F}"/>
    <cellStyle name="Note 7 3" xfId="2943" xr:uid="{B4BD79A8-2AF4-4CEE-BD87-85A19DE13E32}"/>
    <cellStyle name="Note 7 3 2" xfId="2944" xr:uid="{C3075E11-FEFF-4B17-BD04-9373A64E13B2}"/>
    <cellStyle name="Note 7 3 3" xfId="2945" xr:uid="{1C0AFA38-D4C2-4541-9886-EB79D984A63B}"/>
    <cellStyle name="Note 7 3 4" xfId="2946" xr:uid="{FED4F714-794A-4E06-8D92-0980440699E9}"/>
    <cellStyle name="Note 7 3 5" xfId="2947" xr:uid="{CE7E163D-98E4-4452-9436-A5323493575E}"/>
    <cellStyle name="Note 7 4" xfId="2948" xr:uid="{D6D38FF3-CB98-4EA0-80D5-AD1E41FDF598}"/>
    <cellStyle name="Note 7 4 2" xfId="2949" xr:uid="{71B9BE73-6EF1-49BE-949A-92A3BA454849}"/>
    <cellStyle name="Note 7 4 3" xfId="2950" xr:uid="{39449C7E-63A4-4DF5-9BC2-534EA7F47D49}"/>
    <cellStyle name="Note 7 4 4" xfId="2951" xr:uid="{E4D4C93C-DAF7-43D0-BD9F-440D954F0E83}"/>
    <cellStyle name="Note 7 4 5" xfId="2952" xr:uid="{C33E6CE1-32D3-4481-A350-10EC02A34CD5}"/>
    <cellStyle name="Note 7 5" xfId="2953" xr:uid="{5EA589D2-8DFF-4D8D-A950-B5FCEE17D018}"/>
    <cellStyle name="Note 7 6" xfId="2954" xr:uid="{EE2B5983-2B81-4FCC-B30A-71062C7862B3}"/>
    <cellStyle name="Note 7 7" xfId="2955" xr:uid="{0B06F26F-ED78-4282-9710-B5D11D8BFC88}"/>
    <cellStyle name="Note 7 8" xfId="2956" xr:uid="{40F705C0-D0D2-4571-9273-4CF4B917686F}"/>
    <cellStyle name="Note 7_Action plan - Tank" xfId="2957" xr:uid="{9FBFA70D-7382-431E-8957-37FB1F1B25B8}"/>
    <cellStyle name="Note 8" xfId="2958" xr:uid="{6F913E4A-19C2-48E0-87BD-686D6646CB77}"/>
    <cellStyle name="Note 8 2" xfId="2959" xr:uid="{12DABC12-B154-4F0F-894C-C5EF9B536E7A}"/>
    <cellStyle name="Note 8 2 2" xfId="2960" xr:uid="{8FCC0C03-DD2F-41D6-BA14-47B63144795D}"/>
    <cellStyle name="Note 8 2 2 2" xfId="2961" xr:uid="{61480D3F-3D0A-445F-B0CE-7F33787DB9EB}"/>
    <cellStyle name="Note 8 2 2 3" xfId="2962" xr:uid="{B4CAE0F6-56A8-4CD6-B1E5-BD1C56A9FC8C}"/>
    <cellStyle name="Note 8 2 2 4" xfId="2963" xr:uid="{C22AE812-F7AB-41EC-B3D5-0C6629C2E04E}"/>
    <cellStyle name="Note 8 2 2 5" xfId="2964" xr:uid="{BF361496-DA32-47F6-86EC-26758E6CEBDA}"/>
    <cellStyle name="Note 8 2 3" xfId="2965" xr:uid="{DFB9105C-FEF5-4D56-AA9B-E316ADC66094}"/>
    <cellStyle name="Note 8 2 3 2" xfId="2966" xr:uid="{A035AB50-07F7-48E6-92B9-2AC5DCB2D548}"/>
    <cellStyle name="Note 8 2 3 3" xfId="2967" xr:uid="{6D19A9F5-2FF6-4155-A713-4735EDADD33D}"/>
    <cellStyle name="Note 8 2 3 4" xfId="2968" xr:uid="{EA6BFB0B-7365-40B7-9E7F-0E6C53BF77D5}"/>
    <cellStyle name="Note 8 2 3 5" xfId="2969" xr:uid="{5FAB7FF1-DFF5-487A-B0B3-B15DD9A0BDCD}"/>
    <cellStyle name="Note 8 2 4" xfId="2970" xr:uid="{8BDEF17F-B798-4414-9FB5-67A3DF6E8E66}"/>
    <cellStyle name="Note 8 2 5" xfId="2971" xr:uid="{B49482CE-4F36-44D9-889D-3821A278093F}"/>
    <cellStyle name="Note 8 2 6" xfId="2972" xr:uid="{1F4DA5AF-7649-4BE9-975C-8FE6548E276C}"/>
    <cellStyle name="Note 8 2 7" xfId="2973" xr:uid="{3CE47E77-406A-4DBB-9183-07A551AB9BBF}"/>
    <cellStyle name="Note 8 3" xfId="2974" xr:uid="{CFD39101-C1C8-4790-8C23-753C36CB29BC}"/>
    <cellStyle name="Note 8 3 2" xfId="2975" xr:uid="{CDB57BCD-B2A3-41A5-A862-07EDA7B6969E}"/>
    <cellStyle name="Note 8 3 3" xfId="2976" xr:uid="{7DF2D1E4-8F3B-4099-8D1B-9217B51B458E}"/>
    <cellStyle name="Note 8 3 4" xfId="2977" xr:uid="{B197DB11-C663-4D70-85FE-95B1DAF4E41A}"/>
    <cellStyle name="Note 8 3 5" xfId="2978" xr:uid="{16DD21AE-C63F-41E3-8CB3-7BD648ABB0FB}"/>
    <cellStyle name="Note 8 4" xfId="2979" xr:uid="{BAD84DBA-CCE6-4829-9CC7-B3F17CF57DD2}"/>
    <cellStyle name="Note 8 4 2" xfId="2980" xr:uid="{DC8B0275-B29C-4F11-B457-885E1AF35493}"/>
    <cellStyle name="Note 8 4 3" xfId="2981" xr:uid="{31EBAA29-8B7A-45EE-AEFA-DAA7E35CB29E}"/>
    <cellStyle name="Note 8 4 4" xfId="2982" xr:uid="{80627DB3-6C66-46B6-B151-A70D7C640FB5}"/>
    <cellStyle name="Note 8 4 5" xfId="2983" xr:uid="{B6AB2FC6-9856-4C8A-9039-8BB4BB64975F}"/>
    <cellStyle name="Note 8 5" xfId="2984" xr:uid="{7F2B321D-DEDD-48E7-A11F-44374ECE6AC4}"/>
    <cellStyle name="Note 8 6" xfId="2985" xr:uid="{95E179CE-BAE4-4183-A2DD-9C05DA6DE4CD}"/>
    <cellStyle name="Note 8 7" xfId="2986" xr:uid="{350E099A-D59B-47EC-B808-C6D8231FA9EA}"/>
    <cellStyle name="Note 8 8" xfId="2987" xr:uid="{7967565B-E209-465F-B751-B83A153E3224}"/>
    <cellStyle name="Note 8_Action plan - Tank" xfId="2988" xr:uid="{4D3259C6-75FA-49AB-A07E-9E1A511BDE2A}"/>
    <cellStyle name="Note 9" xfId="2989" xr:uid="{F9B0CE7A-C198-49F5-B50E-67DC6A9DF7FA}"/>
    <cellStyle name="Note 9 2" xfId="2990" xr:uid="{CA394D08-49AE-412D-92D8-B00EFC01F586}"/>
    <cellStyle name="Note 9 2 2" xfId="2991" xr:uid="{C130CCF4-042C-43F7-89D5-3BA29D14843E}"/>
    <cellStyle name="Note 9 2 2 2" xfId="2992" xr:uid="{84F604F8-F8BF-47A0-B8D7-5E99715ABC55}"/>
    <cellStyle name="Note 9 2 2 3" xfId="2993" xr:uid="{A30E8C8E-676B-4E04-A6D3-E28CBE2A0295}"/>
    <cellStyle name="Note 9 2 2 4" xfId="2994" xr:uid="{0263CF43-77B7-407D-9237-B1B50EC2B237}"/>
    <cellStyle name="Note 9 2 2 5" xfId="2995" xr:uid="{C2117A82-23B3-4E18-84AD-D1915F26213F}"/>
    <cellStyle name="Note 9 2 3" xfId="2996" xr:uid="{67C3BFC8-6AB9-4E5A-8C47-B42C3BD96D63}"/>
    <cellStyle name="Note 9 2 3 2" xfId="2997" xr:uid="{64F22BFE-D3EF-4215-9C99-A71A8FCEE64F}"/>
    <cellStyle name="Note 9 2 3 3" xfId="2998" xr:uid="{39FA3162-EC4B-4734-A1B2-0AE1951F23AA}"/>
    <cellStyle name="Note 9 2 3 4" xfId="2999" xr:uid="{55D82D06-9FB0-41C5-A853-CEB031544E35}"/>
    <cellStyle name="Note 9 2 3 5" xfId="3000" xr:uid="{7C1FD8A4-D636-49E3-A136-31D962325995}"/>
    <cellStyle name="Note 9 2 4" xfId="3001" xr:uid="{C374A41A-8852-4FB6-BFDF-AC7769E27A8F}"/>
    <cellStyle name="Note 9 2 5" xfId="3002" xr:uid="{5F5EB236-C216-4F98-81EE-737BFD588E39}"/>
    <cellStyle name="Note 9 2 6" xfId="3003" xr:uid="{F8417CA6-B247-4049-A221-5711A8DEE4B8}"/>
    <cellStyle name="Note 9 2 7" xfId="3004" xr:uid="{F2FEA515-5334-4779-AB8B-BD384FBC5927}"/>
    <cellStyle name="Note 9 3" xfId="3005" xr:uid="{0A33B8D5-8580-4CFC-B3F8-D0BF60636A47}"/>
    <cellStyle name="Note 9 3 2" xfId="3006" xr:uid="{35394FFD-05F3-4977-8EB3-F62AF17B07D2}"/>
    <cellStyle name="Note 9 3 3" xfId="3007" xr:uid="{8FDDD4A7-79E2-4084-93C4-C6324956B6A5}"/>
    <cellStyle name="Note 9 3 4" xfId="3008" xr:uid="{87C86D9D-ACCE-4FF9-A5BE-A18E5425E28B}"/>
    <cellStyle name="Note 9 3 5" xfId="3009" xr:uid="{00226B00-C6AE-424A-807D-15A69602DD80}"/>
    <cellStyle name="Note 9 4" xfId="3010" xr:uid="{B845F8BE-FE66-4F0C-B718-BAAEB5071E7F}"/>
    <cellStyle name="Note 9 4 2" xfId="3011" xr:uid="{622477F5-F1D6-4EF3-AEE9-58BE7E6030AF}"/>
    <cellStyle name="Note 9 4 3" xfId="3012" xr:uid="{A4DBA5A7-B87C-4EE7-9798-37F97F7C1FAD}"/>
    <cellStyle name="Note 9 4 4" xfId="3013" xr:uid="{5B0986F8-0B9B-4CBF-80C1-8884EC652FF9}"/>
    <cellStyle name="Note 9 4 5" xfId="3014" xr:uid="{7C141361-65CC-421B-A8E9-EF5DD4376715}"/>
    <cellStyle name="Note 9 5" xfId="3015" xr:uid="{2B1042A1-E93E-43BD-A2F0-71159158D35F}"/>
    <cellStyle name="Note 9 6" xfId="3016" xr:uid="{5CB70342-B65B-43B1-BDDC-D5FF557C353E}"/>
    <cellStyle name="Note 9 7" xfId="3017" xr:uid="{B08D6613-BD0C-4385-8E74-B5B9570C3377}"/>
    <cellStyle name="Note 9 8" xfId="3018" xr:uid="{6D0F4445-5F4D-4E24-80FB-FFFD668FC497}"/>
    <cellStyle name="Note 9_Action plan - Tank" xfId="3019" xr:uid="{841BACBF-2F88-4925-AFAD-B386281921CD}"/>
    <cellStyle name="Œ…‹æØ‚è [0.00]_!!!GO" xfId="3020" xr:uid="{27F26FE3-4AF3-483E-8805-23BF03708429}"/>
    <cellStyle name="Œ…‹æØ‚è_!!!GO" xfId="3021" xr:uid="{4B65C0F1-472E-4B16-9F45-2985412939E3}"/>
    <cellStyle name="Option" xfId="3022" xr:uid="{B46C8A72-D20F-4A65-A3BE-96FEA0A1BBE7}"/>
    <cellStyle name="Option 2" xfId="3023" xr:uid="{081EC010-F017-431B-9E1B-8C0CC9156D4E}"/>
    <cellStyle name="Option_Capital per unit 23.12.15 " xfId="3024" xr:uid="{AC624881-7B8C-4E8C-9E97-9C8108D7DAD6}"/>
    <cellStyle name="Output 10" xfId="3025" xr:uid="{550744B3-7776-42DF-BB2A-E457547C9194}"/>
    <cellStyle name="Output 10 2" xfId="3026" xr:uid="{A16C1F5A-D8A4-414A-9A94-B578781D0AA3}"/>
    <cellStyle name="Output 10 2 2" xfId="3027" xr:uid="{FE1F7D66-D469-41AD-8C2A-80A3C12F826C}"/>
    <cellStyle name="Output 10 2 3" xfId="3028" xr:uid="{A77DE387-5BB8-4CE9-B249-E7C24B17390D}"/>
    <cellStyle name="Output 10 2 4" xfId="3029" xr:uid="{A4948850-704A-48AF-97D9-2A8F64108CBA}"/>
    <cellStyle name="Output 10 2 5" xfId="3030" xr:uid="{CD16E723-7CD4-4669-B091-C5D872D04276}"/>
    <cellStyle name="Output 10 3" xfId="3031" xr:uid="{D7D80A61-321E-4924-8113-05605C056F78}"/>
    <cellStyle name="Output 10 4" xfId="3032" xr:uid="{288493D0-CB47-4F9A-BE23-534F2D97EFEA}"/>
    <cellStyle name="Output 10 5" xfId="3033" xr:uid="{7239C59C-18A7-4C69-A9AF-1BEF15585D9C}"/>
    <cellStyle name="Output 10 6" xfId="3034" xr:uid="{3C660A0F-8BA4-4B3F-B20E-0180A638AD4B}"/>
    <cellStyle name="Output 11" xfId="3035" xr:uid="{6A64EB17-BB16-432B-A84F-534EB4090CC9}"/>
    <cellStyle name="Output 11 2" xfId="3036" xr:uid="{E65C6A9A-CEB4-484F-BC09-3A93B9C6E0D4}"/>
    <cellStyle name="Output 11 2 2" xfId="3037" xr:uid="{0A703E72-1D0D-4099-AC55-35DE875BD027}"/>
    <cellStyle name="Output 11 2 3" xfId="3038" xr:uid="{7D80D6CF-0CF7-4B8D-BDC9-B4DDD8D7AC77}"/>
    <cellStyle name="Output 11 2 4" xfId="3039" xr:uid="{7FEDC0C4-ADF8-485B-9C24-65EF2D48AE1F}"/>
    <cellStyle name="Output 11 2 5" xfId="3040" xr:uid="{7EBE30CA-64A2-45D3-B7C4-3D381FF78D65}"/>
    <cellStyle name="Output 11 3" xfId="3041" xr:uid="{2BAC624F-479D-4CF3-B527-A69F2FEFEA4C}"/>
    <cellStyle name="Output 11 4" xfId="3042" xr:uid="{BCF494B4-A4FA-4A24-802D-1D71F1722A6D}"/>
    <cellStyle name="Output 11 5" xfId="3043" xr:uid="{BBAC2C91-C03E-43A2-8E36-971B921BFA9D}"/>
    <cellStyle name="Output 11 6" xfId="3044" xr:uid="{EBB30A4B-4759-461B-8AFB-F303277F84CF}"/>
    <cellStyle name="Output 12" xfId="3045" xr:uid="{C581D108-59CB-496B-BF91-4588CAC2E0FF}"/>
    <cellStyle name="Output 12 2" xfId="3046" xr:uid="{7766F151-6E1E-4745-8A4C-03FC594AB6E1}"/>
    <cellStyle name="Output 12 2 2" xfId="3047" xr:uid="{83A07F32-6651-4266-9754-6817FF94D8D9}"/>
    <cellStyle name="Output 12 2 3" xfId="3048" xr:uid="{D03505FF-C25E-4D20-848B-7507B5FA3F31}"/>
    <cellStyle name="Output 12 2 4" xfId="3049" xr:uid="{C4313A4E-A4A3-4997-8112-5D8DE00A4DF2}"/>
    <cellStyle name="Output 12 2 5" xfId="3050" xr:uid="{CE83995C-3278-4725-9904-F1C44FB2A89A}"/>
    <cellStyle name="Output 12 3" xfId="3051" xr:uid="{D67A9795-799F-491B-ACA1-CFB1707D856B}"/>
    <cellStyle name="Output 12 4" xfId="3052" xr:uid="{58EE89D3-09C9-4446-B61C-138D6EC94888}"/>
    <cellStyle name="Output 12 5" xfId="3053" xr:uid="{91906BA8-4EDB-4DCB-828C-6E6114D2EA2A}"/>
    <cellStyle name="Output 12 6" xfId="3054" xr:uid="{5B4F3DEC-DB66-4347-8B65-B3161D6FCEBB}"/>
    <cellStyle name="Output 13" xfId="3055" xr:uid="{672CE16E-7A7E-4567-8DB5-02F2A1FE8DB6}"/>
    <cellStyle name="Output 13 2" xfId="3056" xr:uid="{2BE40BA1-A9AA-452B-9FC4-3C2B33905E8B}"/>
    <cellStyle name="Output 13 2 2" xfId="3057" xr:uid="{08ABABAC-1DF5-4D20-A368-3BF7672EFD6D}"/>
    <cellStyle name="Output 13 2 3" xfId="3058" xr:uid="{2B5BD5B4-B674-414B-965D-96FF7CC2319F}"/>
    <cellStyle name="Output 13 2 4" xfId="3059" xr:uid="{045F7045-FC40-4D06-91A4-D73D60DAA991}"/>
    <cellStyle name="Output 13 2 5" xfId="3060" xr:uid="{89977DC2-6CE8-424C-A174-78701B0B4E39}"/>
    <cellStyle name="Output 13 3" xfId="3061" xr:uid="{0F9B88ED-C4A8-49B3-A9F4-D733C6D2D689}"/>
    <cellStyle name="Output 13 4" xfId="3062" xr:uid="{A06BEE20-CFB7-4DF4-B86A-F408B78C2770}"/>
    <cellStyle name="Output 13 5" xfId="3063" xr:uid="{1CAA6ADF-2CA3-42C7-A9A5-598E05364D95}"/>
    <cellStyle name="Output 13 6" xfId="3064" xr:uid="{28A403C7-38DD-4A06-A5FC-E74618D2FC4C}"/>
    <cellStyle name="Output 14" xfId="3065" xr:uid="{927015AC-9382-4463-8839-EC39AE446294}"/>
    <cellStyle name="Output 15" xfId="3808" xr:uid="{D4871832-FAD6-4EF6-8BA5-A7AF886E9FEF}"/>
    <cellStyle name="Output 2" xfId="3066" xr:uid="{E63700B7-F53E-4CC3-BE0B-7E211546F3AC}"/>
    <cellStyle name="Output 2 2" xfId="3067" xr:uid="{A1AF9C61-EA6F-4A59-84AF-6262A9FFCE13}"/>
    <cellStyle name="Output 2 2 2" xfId="3068" xr:uid="{1F8D4A8C-1ABD-4A98-B116-78C198E82BD6}"/>
    <cellStyle name="Output 2 2 3" xfId="3069" xr:uid="{3C236E22-97B0-4AFB-95E3-BA41078D83CB}"/>
    <cellStyle name="Output 2 2 4" xfId="3070" xr:uid="{191017C2-ADEE-4D31-817E-46263EB3B69A}"/>
    <cellStyle name="Output 2 2 5" xfId="3071" xr:uid="{38388DF4-D4FB-4815-8669-E40DB8203D85}"/>
    <cellStyle name="Output 2 3" xfId="3072" xr:uid="{FA7E698F-6303-405A-BF42-E98C7EE71C47}"/>
    <cellStyle name="Output 2 4" xfId="3073" xr:uid="{53DBB55F-32D3-4EC1-904A-2F56D4629FD2}"/>
    <cellStyle name="Output 2 5" xfId="3074" xr:uid="{321473E0-A2D2-443F-B83B-3CCDDE677DDE}"/>
    <cellStyle name="Output 2 6" xfId="3075" xr:uid="{8B855468-5629-4D7A-8CA6-CE0DC74D6CDC}"/>
    <cellStyle name="Output 2_2.Control Points-Prabu-2012-13" xfId="3076" xr:uid="{1FA36182-E767-4524-A173-05A3DA728F66}"/>
    <cellStyle name="Output 3" xfId="3077" xr:uid="{07CB4FB8-4943-4BCD-BC9F-A9F6C92F098F}"/>
    <cellStyle name="Output 3 2" xfId="3078" xr:uid="{C11AA898-169F-4BF1-87EB-255EF9CFFB89}"/>
    <cellStyle name="Output 3 2 2" xfId="3079" xr:uid="{B81B0C56-4957-4CE0-91D9-D2675D13AD45}"/>
    <cellStyle name="Output 3 2 3" xfId="3080" xr:uid="{4D88AC80-9F2B-434D-98B4-0D1C2B77E195}"/>
    <cellStyle name="Output 3 2 4" xfId="3081" xr:uid="{0EE95631-0555-4A33-A582-651CB6DEC47A}"/>
    <cellStyle name="Output 3 2 5" xfId="3082" xr:uid="{BA4B36BD-F056-4CF4-BC99-C9CB7BDB29AE}"/>
    <cellStyle name="Output 3 3" xfId="3083" xr:uid="{FCB331E4-B9A8-46DE-9D45-66F22D827613}"/>
    <cellStyle name="Output 3 4" xfId="3084" xr:uid="{C9D1516A-B38F-4D13-B2B1-42225C012E15}"/>
    <cellStyle name="Output 3 5" xfId="3085" xr:uid="{B231682A-E8DC-47BA-AAF6-2AD69C6E62A3}"/>
    <cellStyle name="Output 3 6" xfId="3086" xr:uid="{F7A52B26-B65A-4678-BAEE-73E71D43E285}"/>
    <cellStyle name="Output 4" xfId="3087" xr:uid="{A40DF776-572B-479C-B12C-3D1D0D88FE31}"/>
    <cellStyle name="Output 4 2" xfId="3088" xr:uid="{58A5908F-1FA1-45B2-9FD3-11C13BF4E7F8}"/>
    <cellStyle name="Output 4 2 2" xfId="3089" xr:uid="{4AA41FE0-4E02-455D-8776-DB86DC01D1BD}"/>
    <cellStyle name="Output 4 2 3" xfId="3090" xr:uid="{D2803448-2C5F-4619-9250-1878D932A2C0}"/>
    <cellStyle name="Output 4 2 4" xfId="3091" xr:uid="{BA049B06-4257-441B-9680-AFCD3E3475B2}"/>
    <cellStyle name="Output 4 2 5" xfId="3092" xr:uid="{6E82B560-3ED6-4208-BA63-5A0CAC086927}"/>
    <cellStyle name="Output 4 3" xfId="3093" xr:uid="{9CA05AD1-5269-4B9B-9BC2-7CBF0A4A78B4}"/>
    <cellStyle name="Output 4 4" xfId="3094" xr:uid="{3D440495-3322-403C-A62A-F2FB95BBB142}"/>
    <cellStyle name="Output 4 5" xfId="3095" xr:uid="{B74E5BEC-B9E9-419E-923A-BE5B7A0ECA73}"/>
    <cellStyle name="Output 4 6" xfId="3096" xr:uid="{8E09C6BD-84A0-4E08-9174-7694B3B9C62A}"/>
    <cellStyle name="Output 5" xfId="3097" xr:uid="{9057D088-98EE-4438-B7FE-94C719A4FB71}"/>
    <cellStyle name="Output 5 2" xfId="3098" xr:uid="{E02AE699-2816-494F-9707-1A5562D258FF}"/>
    <cellStyle name="Output 5 2 2" xfId="3099" xr:uid="{8936D1CF-B011-46A6-ACF8-6448D81D3F6A}"/>
    <cellStyle name="Output 5 2 3" xfId="3100" xr:uid="{80D4BE11-55BF-4018-B020-7AD6B191C9C6}"/>
    <cellStyle name="Output 5 2 4" xfId="3101" xr:uid="{E796E3FD-D5A6-4C51-93C6-05AA9CC139ED}"/>
    <cellStyle name="Output 5 2 5" xfId="3102" xr:uid="{2F239C96-FEBD-46A2-AF40-C183D43A2972}"/>
    <cellStyle name="Output 5 3" xfId="3103" xr:uid="{CAC4B42B-E711-40C7-B5D8-49362639833F}"/>
    <cellStyle name="Output 5 4" xfId="3104" xr:uid="{6DEA600E-038C-48EC-9906-9C983EE4C32F}"/>
    <cellStyle name="Output 5 5" xfId="3105" xr:uid="{6CA95540-8894-44D7-8AEB-650B762877A0}"/>
    <cellStyle name="Output 5 6" xfId="3106" xr:uid="{FDB33792-E8E2-4A85-B0F2-2F8CF3CD321D}"/>
    <cellStyle name="Output 6" xfId="3107" xr:uid="{CF31C2D3-7D18-4D0F-8214-4C3E2F9680FE}"/>
    <cellStyle name="Output 6 2" xfId="3108" xr:uid="{C5F6BC2C-7557-48CD-AB2A-F74A423AC918}"/>
    <cellStyle name="Output 6 2 2" xfId="3109" xr:uid="{EB14E778-6E92-405C-8FB9-CEDB694B1F01}"/>
    <cellStyle name="Output 6 2 3" xfId="3110" xr:uid="{FC01E2D3-5D31-4F59-BBC5-4F992103381B}"/>
    <cellStyle name="Output 6 2 4" xfId="3111" xr:uid="{808C83E5-88EA-4B01-9577-04C8F34BBC42}"/>
    <cellStyle name="Output 6 2 5" xfId="3112" xr:uid="{432884C1-D368-432E-A21E-6F66D5EAC2D1}"/>
    <cellStyle name="Output 6 3" xfId="3113" xr:uid="{22DD8414-2A73-4B9B-933D-51DF480E1919}"/>
    <cellStyle name="Output 6 4" xfId="3114" xr:uid="{C5A6B547-3B91-46CF-BA74-32D00116BE1C}"/>
    <cellStyle name="Output 6 5" xfId="3115" xr:uid="{F92BA1E6-6DF7-4412-8169-C38537405BF7}"/>
    <cellStyle name="Output 6 6" xfId="3116" xr:uid="{944639F3-74CA-4996-9FBA-6569E248A269}"/>
    <cellStyle name="Output 7" xfId="3117" xr:uid="{D889D5BA-D946-47F6-9288-EE00F7BAD799}"/>
    <cellStyle name="Output 7 2" xfId="3118" xr:uid="{2E4B5C17-1D26-4B71-B909-6A7A8E096191}"/>
    <cellStyle name="Output 7 2 2" xfId="3119" xr:uid="{63BBBB1A-E14A-4524-AD27-8F1879F5570E}"/>
    <cellStyle name="Output 7 2 3" xfId="3120" xr:uid="{58E7FCE0-975C-433D-9175-BDD4E8601605}"/>
    <cellStyle name="Output 7 2 4" xfId="3121" xr:uid="{68C383D4-0553-4816-AD16-E2BC1BBDDF86}"/>
    <cellStyle name="Output 7 2 5" xfId="3122" xr:uid="{72F86128-97EF-4F80-81E1-EDB6607E6434}"/>
    <cellStyle name="Output 7 3" xfId="3123" xr:uid="{05DB8B6A-F522-4012-91B3-4281A1F1DB7C}"/>
    <cellStyle name="Output 7 4" xfId="3124" xr:uid="{971DF4F1-A5AE-4D94-97D3-622F526332E1}"/>
    <cellStyle name="Output 7 5" xfId="3125" xr:uid="{26298B80-7522-4122-97AC-1441EEB2FB31}"/>
    <cellStyle name="Output 7 6" xfId="3126" xr:uid="{CA834142-72B6-4317-9F02-02273C8147AF}"/>
    <cellStyle name="Output 8" xfId="3127" xr:uid="{8744E213-496A-4E39-8840-48BC0DCCE269}"/>
    <cellStyle name="Output 8 2" xfId="3128" xr:uid="{5DC8BD0D-CEDD-4C6D-A9F2-035872EBCD19}"/>
    <cellStyle name="Output 8 2 2" xfId="3129" xr:uid="{64743835-EB91-4EDC-8126-3292743FC2CF}"/>
    <cellStyle name="Output 8 2 3" xfId="3130" xr:uid="{C8CA0B81-51AE-4680-B0DA-EDB4121029B2}"/>
    <cellStyle name="Output 8 2 4" xfId="3131" xr:uid="{FD8065FB-D3B5-4121-BBEB-4D85B9C4CF0B}"/>
    <cellStyle name="Output 8 2 5" xfId="3132" xr:uid="{BAFBB4F6-E6B7-4E42-A459-43231523D115}"/>
    <cellStyle name="Output 8 3" xfId="3133" xr:uid="{B90FBD9A-40F7-4684-8330-E77B72F05772}"/>
    <cellStyle name="Output 8 4" xfId="3134" xr:uid="{BE9829DC-772E-49A4-9BBB-DF21FD05B9E8}"/>
    <cellStyle name="Output 8 5" xfId="3135" xr:uid="{F9398078-A50D-4BBF-87C5-1A1D0AD8128A}"/>
    <cellStyle name="Output 8 6" xfId="3136" xr:uid="{7A2A5C37-0089-4539-BD37-0518E0E56B16}"/>
    <cellStyle name="Output 9" xfId="3137" xr:uid="{41AAF145-157E-433E-B690-EC26DE679030}"/>
    <cellStyle name="Output 9 2" xfId="3138" xr:uid="{BB679A15-C5D7-46EA-8541-D865558CF100}"/>
    <cellStyle name="Output 9 2 2" xfId="3139" xr:uid="{16C42F8C-9481-401F-BF24-88D433B76B6E}"/>
    <cellStyle name="Output 9 2 3" xfId="3140" xr:uid="{14B0DE17-E338-4B5F-8390-A234AFF669DA}"/>
    <cellStyle name="Output 9 2 4" xfId="3141" xr:uid="{D7ABF3E8-49E3-4C2D-A2A9-38D3C3510018}"/>
    <cellStyle name="Output 9 2 5" xfId="3142" xr:uid="{8BAA9FFB-D1C4-4E25-8EFA-0DD164CFCB05}"/>
    <cellStyle name="Output 9 3" xfId="3143" xr:uid="{8EDAF418-B5A5-4C5F-8127-56234ED95298}"/>
    <cellStyle name="Output 9 4" xfId="3144" xr:uid="{1A03E05D-2AE7-4B50-82C5-2DEB39325BF5}"/>
    <cellStyle name="Output 9 5" xfId="3145" xr:uid="{C15983FC-C494-4A76-BC88-C0761F1E39D0}"/>
    <cellStyle name="Output 9 6" xfId="3146" xr:uid="{4F8EB7D0-846B-42D1-890C-D89FB38E36EF}"/>
    <cellStyle name="Output Amounts" xfId="3147" xr:uid="{4D15EC39-FC4E-4420-9347-6C03A5895036}"/>
    <cellStyle name="Output Amounts 2" xfId="3148" xr:uid="{36CDC4F7-87F4-43BD-919E-1AE204D847E4}"/>
    <cellStyle name="Output Amounts 3" xfId="3149" xr:uid="{3F0050A5-9D32-4ACF-8AD8-7216E4F1BB3D}"/>
    <cellStyle name="Output Column Headings" xfId="3150" xr:uid="{9A8AED8D-3FF2-4BDF-ACEA-C743DDA5718D}"/>
    <cellStyle name="Output Column Headings 2" xfId="3151" xr:uid="{E873D31A-528F-4A35-9F69-B658EC8ED9B3}"/>
    <cellStyle name="Output Column Headings 3" xfId="3152" xr:uid="{E6F28741-5877-444A-8F8B-A845B071D978}"/>
    <cellStyle name="Output Line Items" xfId="3153" xr:uid="{FFB2E67E-B8A9-4D49-B568-724BB44B0B6C}"/>
    <cellStyle name="Output Line Items 2" xfId="3154" xr:uid="{6524583A-44E5-4006-B91C-2663D780DE0F}"/>
    <cellStyle name="Output Line Items 3" xfId="3155" xr:uid="{397134A4-86F4-4968-B3FA-DFC86616162A}"/>
    <cellStyle name="Output Report Heading" xfId="3156" xr:uid="{9D938EAF-6564-4417-84F4-DB6D4C532BBD}"/>
    <cellStyle name="Output Report Heading 2" xfId="3157" xr:uid="{562C342C-9054-4095-8C35-1888B0A1FC48}"/>
    <cellStyle name="Output Report Title" xfId="3158" xr:uid="{389F99F6-CA19-4A0F-ABDB-82E55716B76D}"/>
    <cellStyle name="Output Report Title 2" xfId="3159" xr:uid="{54C75B76-ED1F-4F21-A226-68BEFD1B3B18}"/>
    <cellStyle name="per.style" xfId="3160" xr:uid="{5ABECCB2-56C4-42C8-9B76-21D805DDD511}"/>
    <cellStyle name="Percent [0]" xfId="3162" xr:uid="{A4E29430-2AE0-4CD8-A386-B1B96A699483}"/>
    <cellStyle name="Percent [0] 2" xfId="3163" xr:uid="{2DF6AC96-D8FA-42D2-9F29-3CABDD33932D}"/>
    <cellStyle name="Percent [0] 2 2" xfId="3164" xr:uid="{C19D0C96-2E34-4C3B-9F3C-8EC9D4525119}"/>
    <cellStyle name="Percent [0] 3" xfId="3165" xr:uid="{4D15153A-F9AD-44F5-A644-974B0BA6F73F}"/>
    <cellStyle name="Percent [0]_Action plan - Tank" xfId="3166" xr:uid="{251F2D3B-24DB-4650-9931-873BC17820BF}"/>
    <cellStyle name="Percent [00]" xfId="3167" xr:uid="{837D0172-A8C1-437D-AF25-336C6CC44066}"/>
    <cellStyle name="Percent [00] 2" xfId="3168" xr:uid="{8A534DB8-F23E-4760-AE5E-3737ECAACE10}"/>
    <cellStyle name="Percent [00] 2 2" xfId="3169" xr:uid="{CECB459F-B0CC-4FF1-B0BB-97B386056BCE}"/>
    <cellStyle name="Percent [00] 3" xfId="3170" xr:uid="{26FCE86E-FA34-44A6-AA4F-29C25A0DA6AB}"/>
    <cellStyle name="Percent [00]_Action plan - Tank" xfId="3171" xr:uid="{6A0B5F5B-8964-48C2-A2DA-3A3524770951}"/>
    <cellStyle name="Percent [2]" xfId="3172" xr:uid="{5FB9182A-871C-428C-94B0-CDAE46D5C7B9}"/>
    <cellStyle name="Percent [2] 2" xfId="3173" xr:uid="{607DB526-7FAF-46CC-B96F-4B8A3CFB119F}"/>
    <cellStyle name="Percent [2] 2 2" xfId="3174" xr:uid="{6AF950CD-54B1-447F-ABC0-1D0832F85D01}"/>
    <cellStyle name="Percent [2] 2 3" xfId="3175" xr:uid="{5F3BB8E6-B701-4F65-A5C4-54F51A998699}"/>
    <cellStyle name="Percent [2] 3" xfId="3176" xr:uid="{E72785A3-DDC3-4F94-964C-7C1F76D1BAA3}"/>
    <cellStyle name="Percent [2] 4" xfId="3177" xr:uid="{97431E8F-BEFE-488F-8D24-3FD0803B9DDB}"/>
    <cellStyle name="Percent [2]_Action plan - Tank" xfId="3178" xr:uid="{0FE9C6E6-DE18-4F21-92A0-849F7B58117F}"/>
    <cellStyle name="Percent 10" xfId="3179" xr:uid="{AABC9952-87F0-414C-8017-B110EC068234}"/>
    <cellStyle name="Percent 10 2" xfId="3180" xr:uid="{41826B23-D001-432A-B673-DA4E18729A34}"/>
    <cellStyle name="Percent 11" xfId="3181" xr:uid="{3123DF3D-541E-4909-90F3-0049092AC88F}"/>
    <cellStyle name="Percent 11 2" xfId="3182" xr:uid="{14FCEAC5-4590-424E-BB68-2B2B1D79F466}"/>
    <cellStyle name="Percent 12" xfId="3183" xr:uid="{871D995C-EC86-4CF3-A1F2-9420BAC44817}"/>
    <cellStyle name="Percent 12 2" xfId="3184" xr:uid="{D77E51F7-F79A-4ACF-9210-479F1C0A31A0}"/>
    <cellStyle name="Percent 13" xfId="3185" xr:uid="{03643302-C80D-4CEB-9758-11C3D6EB5053}"/>
    <cellStyle name="Percent 13 2" xfId="3186" xr:uid="{1E706EE9-D607-42B1-8B02-D637B6826942}"/>
    <cellStyle name="Percent 14" xfId="3187" xr:uid="{A1812E82-871C-4FC2-AC00-7E748755B216}"/>
    <cellStyle name="Percent 14 2" xfId="3188" xr:uid="{7EC0A529-6F39-4701-8663-71937AE91CD0}"/>
    <cellStyle name="Percent 15" xfId="3189" xr:uid="{5920842F-D339-4C2A-BEDF-AE83AB06D19A}"/>
    <cellStyle name="Percent 15 2" xfId="3190" xr:uid="{B8DEE678-09D0-4BC5-9691-B0599C057B02}"/>
    <cellStyle name="Percent 16" xfId="3191" xr:uid="{4B22E8EE-0FEF-4CF5-BF40-4EF1BA0C9691}"/>
    <cellStyle name="Percent 16 2" xfId="3192" xr:uid="{B34187E3-C273-48F5-B09A-B587F12DEA55}"/>
    <cellStyle name="Percent 17" xfId="3193" xr:uid="{5F67ED8B-0C7A-449B-890E-CFFD74DB634D}"/>
    <cellStyle name="Percent 17 2" xfId="3194" xr:uid="{1EE0F649-5C91-4254-95EF-91A8E3353270}"/>
    <cellStyle name="Percent 18" xfId="3195" xr:uid="{89394BBE-F349-4943-8F11-3CEC5276AA3A}"/>
    <cellStyle name="Percent 18 2" xfId="3196" xr:uid="{914FD274-CFAF-4104-BA82-4915021F4F39}"/>
    <cellStyle name="Percent 19" xfId="3197" xr:uid="{0F527D52-79DF-4C4E-BE07-1E39293E4E97}"/>
    <cellStyle name="Percent 19 2" xfId="3198" xr:uid="{7EB26905-BF31-41AC-91F2-0529CFB03771}"/>
    <cellStyle name="Percent 2" xfId="3199" xr:uid="{1B131EAE-99A2-4547-BBBA-F48E66CE6F04}"/>
    <cellStyle name="Percent 2 2" xfId="3200" xr:uid="{41F577EE-1C6B-4BB6-B807-CFBBAC1A1329}"/>
    <cellStyle name="Percent 2 2 2" xfId="3201" xr:uid="{E2CC75CE-72D3-4375-8FA9-4F916348EE8C}"/>
    <cellStyle name="Percent 2 2 2 2" xfId="3202" xr:uid="{0F6FE2F9-14F9-43A4-A08A-44814DBAAC47}"/>
    <cellStyle name="Percent 2 2 2 2 2" xfId="3203" xr:uid="{7171150E-9E34-4E1E-8156-EC7E3EBD7310}"/>
    <cellStyle name="Percent 2 2 2 3" xfId="3204" xr:uid="{5A781236-7A14-4B19-ABC4-F336D033B65C}"/>
    <cellStyle name="Percent 2 2 2_DPSAC Capacity Plan - Jun'17" xfId="3205" xr:uid="{8EA7347B-3CA8-4640-965E-ADD0338C0633}"/>
    <cellStyle name="Percent 2 2 3" xfId="3206" xr:uid="{00D0DC40-7BA9-4DEC-A2BF-5F19823B5A81}"/>
    <cellStyle name="Percent 2 2 3 2" xfId="3207" xr:uid="{B1EF4224-85BF-4C12-AEB6-92233227B5AE}"/>
    <cellStyle name="Percent 2 2 4" xfId="3208" xr:uid="{9CD64920-B841-4AE3-B514-B8CB6BF02A0F}"/>
    <cellStyle name="Percent 2 2_Action plan - Tank" xfId="3209" xr:uid="{714BB399-A9F9-43B9-B915-66DC81B90E89}"/>
    <cellStyle name="Percent 2 3" xfId="3210" xr:uid="{FF268DDB-6F2D-4FD9-BB84-62ED2406BEDC}"/>
    <cellStyle name="Percent 2 3 2" xfId="3211" xr:uid="{EA78824E-6C42-4A30-97C9-0B0A6D5BC619}"/>
    <cellStyle name="Percent 2 3 2 2" xfId="3212" xr:uid="{0A0672EA-459A-466F-B6ED-3929B8E3E39A}"/>
    <cellStyle name="Percent 2 3 3" xfId="3213" xr:uid="{85DFFB6A-88E1-4BDA-8E25-2F7185DFD7BC}"/>
    <cellStyle name="Percent 2 3_Action Plan New -2016-2017" xfId="3214" xr:uid="{87033327-7A98-41B6-8C22-AC32AC8D7D93}"/>
    <cellStyle name="Percent 2 4" xfId="3215" xr:uid="{A00AFB59-B788-4D3E-8543-0DD5C60D107C}"/>
    <cellStyle name="Percent 2 4 2" xfId="3216" xr:uid="{5493D75A-A201-46C3-8079-96FDAEF77B46}"/>
    <cellStyle name="Percent 2 4 2 2" xfId="3217" xr:uid="{187CC99D-DD54-4521-AB82-6018AF87D8ED}"/>
    <cellStyle name="Percent 2 4 3" xfId="3218" xr:uid="{CD3F4DDE-9D64-4E21-9104-B10B45432E8F}"/>
    <cellStyle name="Percent 2 4 3 2" xfId="3219" xr:uid="{E74E4F1C-CD9D-444B-8910-6B007C0A8ECB}"/>
    <cellStyle name="Percent 2 4 4" xfId="3220" xr:uid="{CEDC2612-7CE9-4C8B-908A-F95712AD0C75}"/>
    <cellStyle name="Percent 2 4_DPSAC Capacity Plan - Jun'17" xfId="3221" xr:uid="{77198FF9-8250-4E14-BA47-33F27DC3236E}"/>
    <cellStyle name="Percent 2 5" xfId="3222" xr:uid="{8F5B47BB-F179-4369-81B8-3C2BFF97D8AE}"/>
    <cellStyle name="Percent 2 5 2" xfId="3223" xr:uid="{85DBCB6B-3E53-46D8-8D3C-06328954E61E}"/>
    <cellStyle name="Percent 2 6" xfId="3224" xr:uid="{AD07D3FF-388E-4130-AAD6-19CF43D819B3}"/>
    <cellStyle name="Percent 2 7" xfId="3821" xr:uid="{B3FB89BF-9925-4696-BD32-EA1E1743E434}"/>
    <cellStyle name="Percent 2_16-17" xfId="3225" xr:uid="{45933E9D-7B42-4D1F-A23F-91F660574D93}"/>
    <cellStyle name="Percent 20" xfId="3226" xr:uid="{7C1DCF03-DDAB-4FBA-BC0A-C13D2B9FCDCA}"/>
    <cellStyle name="Percent 20 2" xfId="3227" xr:uid="{EE15A429-D032-4F43-B441-F18C0269216F}"/>
    <cellStyle name="Percent 20 3" xfId="3228" xr:uid="{9B84D5BD-87B4-4357-97DB-05D3201752A0}"/>
    <cellStyle name="Percent 21" xfId="3229" xr:uid="{95EA3F13-C8FA-48DF-9641-C26AAE034379}"/>
    <cellStyle name="Percent 21 2" xfId="3230" xr:uid="{1AB95DF0-8D78-41BC-9A7F-D1D2C61F49BD}"/>
    <cellStyle name="Percent 21 3" xfId="3231" xr:uid="{F245C236-63BE-4A74-8C58-9F08810D047D}"/>
    <cellStyle name="Percent 22" xfId="3232" xr:uid="{91223C5C-880D-486D-8715-45DACB328A6A}"/>
    <cellStyle name="Percent 22 2" xfId="3233" xr:uid="{E01CE9DB-36AF-42BD-ADBA-84A0B2BB28B3}"/>
    <cellStyle name="Percent 22 3" xfId="3234" xr:uid="{C1180AB8-067B-4910-AAFC-68B6FC63FCA8}"/>
    <cellStyle name="Percent 23" xfId="3235" xr:uid="{C0C7066E-3FF8-4C0A-925C-DB164B7627FA}"/>
    <cellStyle name="Percent 23 2" xfId="3236" xr:uid="{6806BC04-DE53-43F9-9C42-39F294CC743B}"/>
    <cellStyle name="Percent 23 3" xfId="3237" xr:uid="{25D89F1A-CBB0-41AC-8D75-9CAC3E073A41}"/>
    <cellStyle name="Percent 24" xfId="3238" xr:uid="{E82C0663-54A9-45A8-AD77-CAE934D44775}"/>
    <cellStyle name="Percent 24 2" xfId="3239" xr:uid="{FEA3524F-8E3C-4CFF-AEDB-D73292870907}"/>
    <cellStyle name="Percent 24 3" xfId="3240" xr:uid="{EFF7E700-AB10-43C0-B471-BA9A97B02491}"/>
    <cellStyle name="Percent 25" xfId="3241" xr:uid="{E64208BC-E708-4A77-8ADA-B47F69605912}"/>
    <cellStyle name="Percent 25 2" xfId="3242" xr:uid="{B0841D34-C8B3-4A8F-8AD2-922E473DBC24}"/>
    <cellStyle name="Percent 25 2 2" xfId="3243" xr:uid="{D0801B31-580D-4516-B477-F0D9C2E6973A}"/>
    <cellStyle name="Percent 25 2 3" xfId="3244" xr:uid="{D61531ED-3637-4761-B5E3-46E544D51228}"/>
    <cellStyle name="Percent 25 3" xfId="3245" xr:uid="{066470BC-62B8-4806-AEA3-DCA066781A4D}"/>
    <cellStyle name="Percent 25 4" xfId="3246" xr:uid="{2C33EC41-7908-42BD-86CC-DBFE3338D87C}"/>
    <cellStyle name="Percent 25_Action Plan New -2016-2017" xfId="3247" xr:uid="{9E2A223C-3942-4B57-833A-A5856D8F7946}"/>
    <cellStyle name="Percent 26" xfId="3248" xr:uid="{0562F1F0-FE96-49B0-8DD5-0E23A789EA04}"/>
    <cellStyle name="Percent 26 2" xfId="3249" xr:uid="{C8CD84CA-C0F6-48F8-BED2-47F9C99EB170}"/>
    <cellStyle name="Percent 26 2 2" xfId="3250" xr:uid="{486DE224-2C09-4929-B53B-3A35CA4E9651}"/>
    <cellStyle name="Percent 26 2 3" xfId="3251" xr:uid="{2A783205-B3E8-4864-8AAE-60AFDAE86466}"/>
    <cellStyle name="Percent 26 3" xfId="3252" xr:uid="{2F324C5F-B4CE-4763-B0AB-1A2F0E963565}"/>
    <cellStyle name="Percent 26 4" xfId="3253" xr:uid="{018B17C0-8F8C-421A-A47E-47E0CD7516B1}"/>
    <cellStyle name="Percent 26_Action Plan New -2016-2017" xfId="3254" xr:uid="{963CDB42-E97B-457A-A666-560B7C12D594}"/>
    <cellStyle name="Percent 27" xfId="3255" xr:uid="{367B7276-6E13-46A2-9ABA-75F79E3E84AA}"/>
    <cellStyle name="Percent 27 2" xfId="3256" xr:uid="{5D5D63CE-D402-4898-A75B-AAA470AB3B7A}"/>
    <cellStyle name="Percent 27 2 2" xfId="3257" xr:uid="{5ED4CD14-0340-4218-A751-67A6C8445225}"/>
    <cellStyle name="Percent 27 2 3" xfId="3258" xr:uid="{1451D0A6-FDAB-498F-B188-7835B0E2BE37}"/>
    <cellStyle name="Percent 27 3" xfId="3259" xr:uid="{E7557E7B-D58E-4D13-BBAD-4A98FF05887A}"/>
    <cellStyle name="Percent 27 4" xfId="3260" xr:uid="{E7D69171-D7D4-4175-BDF8-5A485780C861}"/>
    <cellStyle name="Percent 27_Action Plan New -2016-2017" xfId="3261" xr:uid="{EE96FF5E-AA68-4EE8-B0A5-FEAE5D98850A}"/>
    <cellStyle name="Percent 28" xfId="3262" xr:uid="{E9741299-14C9-4AB6-A0DE-E63693DCC53D}"/>
    <cellStyle name="Percent 28 2" xfId="3263" xr:uid="{FD577093-E7F2-40B4-A92C-A7053DCC7104}"/>
    <cellStyle name="Percent 28 2 2" xfId="3264" xr:uid="{DB64CCB9-FEDD-48E7-9149-52F092D983D5}"/>
    <cellStyle name="Percent 28 2 3" xfId="3265" xr:uid="{9E128AED-069D-4FBC-B0C2-1F40DB919DDE}"/>
    <cellStyle name="Percent 28 3" xfId="3266" xr:uid="{CDA9BA7C-43F2-419F-9197-E3FD5E6F52D9}"/>
    <cellStyle name="Percent 28 4" xfId="3267" xr:uid="{8303F5EF-9DBA-4557-BDEF-D326E36DDE1C}"/>
    <cellStyle name="Percent 28_Action Plan New -2016-2017" xfId="3268" xr:uid="{160B3C27-5322-4AD8-BA3C-25AC4553FF9F}"/>
    <cellStyle name="Percent 29" xfId="3269" xr:uid="{3B3900F4-644C-497E-B5E7-3DBD2068B849}"/>
    <cellStyle name="Percent 29 2" xfId="3270" xr:uid="{40CE8D41-62D9-45C5-9A52-D9565D6533A5}"/>
    <cellStyle name="Percent 29 2 2" xfId="3271" xr:uid="{ECF3CF24-0B36-4D1C-9839-69C0DEB588E0}"/>
    <cellStyle name="Percent 29 2 3" xfId="3272" xr:uid="{1D172F36-8978-4296-9E95-D4D4561C42B5}"/>
    <cellStyle name="Percent 29 3" xfId="3273" xr:uid="{8A6DC7F0-EC9E-4C2B-9061-EC1003394649}"/>
    <cellStyle name="Percent 29 4" xfId="3274" xr:uid="{4033898A-CFE8-4EC9-8F78-CF77A14AF4DB}"/>
    <cellStyle name="Percent 29_Action Plan New -2016-2017" xfId="3275" xr:uid="{32EC2561-5C72-4F6F-84A6-A24D1CF18A5F}"/>
    <cellStyle name="Percent 3" xfId="3276" xr:uid="{BB17A49F-AC5C-4331-9E74-EC8E37BA90D2}"/>
    <cellStyle name="Percent 3 2" xfId="3277" xr:uid="{66B7D853-AC56-4572-AD77-3F0C111E62C6}"/>
    <cellStyle name="Percent 3 2 2" xfId="3278" xr:uid="{3047A4AA-DFF7-49F0-9015-073D9528312A}"/>
    <cellStyle name="Percent 3 2 3" xfId="3279" xr:uid="{88581477-976B-4519-8319-392A72747324}"/>
    <cellStyle name="Percent 3 3" xfId="3280" xr:uid="{C5E145C2-46C5-4F0E-8B75-3AE02B0D3DC8}"/>
    <cellStyle name="Percent 3 3 2" xfId="3281" xr:uid="{4EF0205C-F15B-443C-AF31-FFD727643706}"/>
    <cellStyle name="Percent 3 3 3" xfId="3282" xr:uid="{BDB3A4E7-62A3-4C3D-BFF5-CF8BB446097C}"/>
    <cellStyle name="Percent 3 4" xfId="3283" xr:uid="{A503037D-5023-4DBE-AB6F-E4BF3BB8B25B}"/>
    <cellStyle name="Percent 3 4 2" xfId="3284" xr:uid="{7ED088CA-2CCE-489F-A337-CC5B4FF7A4AC}"/>
    <cellStyle name="Percent 3 4 3" xfId="3285" xr:uid="{C4E82B7E-65F4-4114-8C5C-878AADCD24D2}"/>
    <cellStyle name="Percent 3 5" xfId="3286" xr:uid="{0B4F4DEE-114F-4440-B5D5-9782C86BC1B9}"/>
    <cellStyle name="Percent 3 6" xfId="3287" xr:uid="{A77D7E8E-1860-402A-89D9-7D4130CC404D}"/>
    <cellStyle name="Percent 3_Action plan - Tank" xfId="3288" xr:uid="{EB50F57D-F2E8-4FE7-B33C-DD3CF0FEFBBB}"/>
    <cellStyle name="Percent 30" xfId="3289" xr:uid="{9F913D5E-05B6-4B32-A2E5-904F23563679}"/>
    <cellStyle name="Percent 30 2" xfId="3290" xr:uid="{411AF890-2E3C-430B-9679-1BB13C920A4A}"/>
    <cellStyle name="Percent 30 3" xfId="3291" xr:uid="{573956DA-3684-484A-967C-F2A6BE16E035}"/>
    <cellStyle name="Percent 31" xfId="3292" xr:uid="{C002C725-6262-4A3F-8E78-791661F5C692}"/>
    <cellStyle name="Percent 31 2" xfId="3293" xr:uid="{3F5A714A-EF35-4FC9-986F-8C2E46778B8A}"/>
    <cellStyle name="Percent 31 3" xfId="3294" xr:uid="{C834C617-EE66-42FC-909E-42327CC34C24}"/>
    <cellStyle name="Percent 32" xfId="3295" xr:uid="{06943714-2E40-4D42-835D-11E4B58E4D14}"/>
    <cellStyle name="Percent 32 2" xfId="3296" xr:uid="{CDA2ACB8-B4F5-44E7-9EFC-34B57896E304}"/>
    <cellStyle name="Percent 32 3" xfId="3297" xr:uid="{08CABB32-9A04-46BA-888C-DB4443751D84}"/>
    <cellStyle name="Percent 33" xfId="3298" xr:uid="{2DE12A8D-DC68-4C65-A63F-DF6BB003C272}"/>
    <cellStyle name="Percent 33 2" xfId="3299" xr:uid="{739EF5B5-01ED-4CE8-95F5-E8C02E9E58D1}"/>
    <cellStyle name="Percent 34" xfId="3300" xr:uid="{C228A6DD-8FE0-4274-B2CE-6C58141B62C5}"/>
    <cellStyle name="Percent 35" xfId="3301" xr:uid="{14A78A77-3FEF-455D-A285-B75589A9980F}"/>
    <cellStyle name="Percent 36" xfId="3776" xr:uid="{FD2EEA54-BAE1-4D29-954C-96A1EE89CD4F}"/>
    <cellStyle name="Percent 37" xfId="3778" xr:uid="{AA204F35-9A69-4C96-922D-AC6E497B6A15}"/>
    <cellStyle name="Percent 38" xfId="3777" xr:uid="{BC1C5A91-31AB-44AB-ADAA-326F30C97372}"/>
    <cellStyle name="Percent 39" xfId="3781" xr:uid="{DDD43F5F-7174-417A-8049-E2D891DEFF95}"/>
    <cellStyle name="Percent 4" xfId="3302" xr:uid="{2CD6CDF4-6162-4787-B225-88AEC381BEA7}"/>
    <cellStyle name="Percent 4 2" xfId="3303" xr:uid="{AC13F3B1-7584-4E3A-BD8E-24D6B9EEFF18}"/>
    <cellStyle name="Percent 4 2 2" xfId="3304" xr:uid="{5D33CB7B-4794-4D5B-82E5-59067574019B}"/>
    <cellStyle name="Percent 4 2 2 2" xfId="3305" xr:uid="{FAEB3644-8768-4944-9F0C-DECD6CDF2111}"/>
    <cellStyle name="Percent 4 2 2 3" xfId="3306" xr:uid="{A7F62C41-6BC3-40B2-8F84-E51DC41046ED}"/>
    <cellStyle name="Percent 4 2 3" xfId="3307" xr:uid="{4CFC78D9-F9A7-412B-A265-8E58A348FCAD}"/>
    <cellStyle name="Percent 4 2 4" xfId="3308" xr:uid="{ADF5970A-1BFD-4A2D-8745-5BBD19CB3EFA}"/>
    <cellStyle name="Percent 4 2_Action plan - Tank" xfId="3309" xr:uid="{8B7EA708-5607-4E8E-AA7B-D435AFF383CD}"/>
    <cellStyle name="Percent 4 3" xfId="3310" xr:uid="{FD50BEA9-A9B0-47E9-8DDD-D144FEF355D1}"/>
    <cellStyle name="Percent 4 3 2" xfId="3311" xr:uid="{63768545-71A0-4D49-AE5E-01C314C7FFC8}"/>
    <cellStyle name="Percent 4 3 3" xfId="3312" xr:uid="{08831417-25F2-4B6A-8803-F92B40D5F6B9}"/>
    <cellStyle name="Percent 4 4" xfId="3313" xr:uid="{74523902-9CDE-4147-82A7-627674A22678}"/>
    <cellStyle name="Percent 4 5" xfId="3314" xr:uid="{14681C77-A751-4FDD-BC09-0D9AB038A987}"/>
    <cellStyle name="Percent 4_Action plan - Tank" xfId="3315" xr:uid="{46512B73-0F2B-4630-978B-28C0C2F10483}"/>
    <cellStyle name="Percent 40" xfId="3779" xr:uid="{157B693A-07A4-426C-ABA9-22738A8DDC68}"/>
    <cellStyle name="Percent 41" xfId="3782" xr:uid="{FDEBEA5E-ADEC-4481-9797-86AFBF134F91}"/>
    <cellStyle name="Percent 42" xfId="3780" xr:uid="{EF7598C7-0D42-4C79-B3E2-D9A7E9025D3C}"/>
    <cellStyle name="Percent 43" xfId="3783" xr:uid="{E64973B1-9BC7-4FF7-9EBE-91236C46302F}"/>
    <cellStyle name="Percent 44" xfId="3784" xr:uid="{4D5ECABE-FEB7-433B-99B3-926BB28105B8}"/>
    <cellStyle name="Percent 45" xfId="3785" xr:uid="{32767445-A734-4900-9527-CBD3B53EB363}"/>
    <cellStyle name="Percent 46" xfId="3786" xr:uid="{51FADEA2-0B68-4767-8CB4-826FBAA027D3}"/>
    <cellStyle name="Percent 47" xfId="3787" xr:uid="{DD27FA12-B00D-456A-858B-6AF12671F503}"/>
    <cellStyle name="Percent 48" xfId="3790" xr:uid="{9C0D00BA-782B-4A45-9683-5D99FDA13AEF}"/>
    <cellStyle name="Percent 49" xfId="3788" xr:uid="{5EC03092-5D08-4792-B043-0C9720EBD175}"/>
    <cellStyle name="Percent 5" xfId="3316" xr:uid="{EA322B01-FAD9-42FD-9945-CD6D49D4FE81}"/>
    <cellStyle name="Percent 5 2" xfId="3317" xr:uid="{DBFA78F2-B774-40A9-AA1C-BB02F765CF7D}"/>
    <cellStyle name="Percent 5 2 2" xfId="3318" xr:uid="{64E2D57D-45EB-42F5-B678-958ADA2389C5}"/>
    <cellStyle name="Percent 5 2 3" xfId="3319" xr:uid="{1435E443-B85E-47E2-9849-975060A66857}"/>
    <cellStyle name="Percent 5 3" xfId="3320" xr:uid="{278A3274-FD7B-4191-AE31-798FA6781CA8}"/>
    <cellStyle name="Percent 5 4" xfId="3321" xr:uid="{BCB7CA79-1579-483B-A607-6A053EE820F2}"/>
    <cellStyle name="Percent 5_Action plan - Tank" xfId="3322" xr:uid="{F60F8614-D4B5-459B-B9A3-A0812BA2D961}"/>
    <cellStyle name="Percent 50" xfId="3791" xr:uid="{A0C6F834-68AB-4B9D-AC4D-14C3FC774C40}"/>
    <cellStyle name="Percent 51" xfId="3789" xr:uid="{B78FF19E-CB1E-4F34-9C98-1F679585A038}"/>
    <cellStyle name="Percent 52" xfId="3809" xr:uid="{9DA4DB9E-D863-4B9F-8F28-8D636DE82461}"/>
    <cellStyle name="Percent 53" xfId="3814" xr:uid="{5B007767-C0F4-4828-A480-0FEED452FDB4}"/>
    <cellStyle name="Percent 54" xfId="3819" xr:uid="{5D8573C8-6E09-420F-B8FF-97FEC9A90B85}"/>
    <cellStyle name="Percent 55" xfId="3824" xr:uid="{D59093EE-5AAF-45D0-85EC-565904224D19}"/>
    <cellStyle name="Percent 56" xfId="3161" xr:uid="{412853B7-6EF7-4204-9C90-61ED44177931}"/>
    <cellStyle name="Percent 57" xfId="3826" xr:uid="{DB6115DE-0D4B-49B9-8BD8-BF2CBD12B2AC}"/>
    <cellStyle name="Percent 58" xfId="3825" xr:uid="{7B230B51-FE66-4588-84AF-976F6821C94E}"/>
    <cellStyle name="Percent 6" xfId="3323" xr:uid="{D476EF5E-5B9E-448F-A99C-4C6F91DED283}"/>
    <cellStyle name="Percent 6 2" xfId="3324" xr:uid="{DD5B7858-B84A-4D52-B406-CDB32A961205}"/>
    <cellStyle name="Percent 6 2 2" xfId="3325" xr:uid="{9A90839C-6AC0-451A-8C43-3654847FE37F}"/>
    <cellStyle name="Percent 6 2 3" xfId="3326" xr:uid="{29E71616-AE2A-4678-A787-019A89009E29}"/>
    <cellStyle name="Percent 6 3" xfId="3327" xr:uid="{2A9123C6-6B35-4764-8C49-0937208E94AD}"/>
    <cellStyle name="Percent 6 4" xfId="3328" xr:uid="{F072E536-C696-4FD8-95C5-BB92B5CC45E1}"/>
    <cellStyle name="Percent 6_Action plan - Tank" xfId="3329" xr:uid="{0E58C77C-5651-49CB-A27A-D295BB822F39}"/>
    <cellStyle name="Percent 7" xfId="3330" xr:uid="{2CA986F7-DC13-4630-84FF-12AA587BD9AD}"/>
    <cellStyle name="Percent 7 2" xfId="3331" xr:uid="{3CE8A3E6-9243-4F27-BFF9-09450C997209}"/>
    <cellStyle name="Percent 7 2 2" xfId="3332" xr:uid="{C41E8FE0-A86B-4D6D-9143-8EF98D6B4730}"/>
    <cellStyle name="Percent 7 2 3" xfId="3333" xr:uid="{D296077F-B737-4D3F-8DA9-F973279478BD}"/>
    <cellStyle name="Percent 7 3" xfId="3334" xr:uid="{38F14340-3B35-4D73-947C-7A919CF955AC}"/>
    <cellStyle name="Percent 7 4" xfId="3335" xr:uid="{306D551D-1E22-42E0-88EE-FC0B12ABE40C}"/>
    <cellStyle name="Percent 7_Action plan - Tank" xfId="3336" xr:uid="{FACE97D3-5960-4FC2-992C-5AAD56A15973}"/>
    <cellStyle name="Percent 8" xfId="3337" xr:uid="{E04661C6-B4FF-43DF-B482-A1CD5AEC0F58}"/>
    <cellStyle name="Percent 8 2" xfId="3338" xr:uid="{20A3034D-5E04-4E88-92A7-E6E02D0AA123}"/>
    <cellStyle name="Percent 8 2 2" xfId="3339" xr:uid="{D900111E-D5D1-4EB9-98A4-11D5E2BAC8BE}"/>
    <cellStyle name="Percent 8 2 3" xfId="3340" xr:uid="{125DC006-9316-466E-887C-0BC284144E3D}"/>
    <cellStyle name="Percent 8 3" xfId="3341" xr:uid="{6DDC9EF6-EC06-4566-9860-378993743E5A}"/>
    <cellStyle name="Percent 8 4" xfId="3342" xr:uid="{33C12539-2C3F-4851-B6B4-4EB2E17D66A4}"/>
    <cellStyle name="Percent 8_Action plan - Tank" xfId="3343" xr:uid="{48469FC9-8F32-4528-8FD1-AE5B27A604F9}"/>
    <cellStyle name="Percent 9" xfId="3344" xr:uid="{860EECE8-6C37-4515-A895-59B9176D143A}"/>
    <cellStyle name="Percent 9 2" xfId="3345" xr:uid="{36F97547-E15C-4C53-8D76-7D0B14BCF0CD}"/>
    <cellStyle name="Percent 9 3" xfId="3346" xr:uid="{49FB684B-B241-4D06-9E98-4A249C6285BA}"/>
    <cellStyle name="PERCENTAGE" xfId="3347" xr:uid="{FF2358B6-4DF4-4BFC-9CAC-94E7EC6BF87D}"/>
    <cellStyle name="PERCENTAGE 2" xfId="3348" xr:uid="{361EF850-4FF9-4C45-947D-F56298830C3A}"/>
    <cellStyle name="PERCENTAGE 3" xfId="3349" xr:uid="{7FE450E0-4B80-40AD-9840-88D5B59E834D}"/>
    <cellStyle name="Pivot Table Category" xfId="3350" xr:uid="{9DE19667-04F4-40A0-91EE-4C3ACC47B880}"/>
    <cellStyle name="Pivot Table Category 2" xfId="3351" xr:uid="{82378EDA-00FC-4DE8-BFCA-E0C486596609}"/>
    <cellStyle name="Pivot Table Category 3" xfId="3352" xr:uid="{01CED849-61C3-413C-8EC8-F341DC874BD8}"/>
    <cellStyle name="Pivot Table Category 3 2" xfId="3353" xr:uid="{527A5676-F2A6-4063-A6FB-446ACCC4BE94}"/>
    <cellStyle name="Pivot Table Category 4" xfId="3354" xr:uid="{0EA9CE31-07EF-4B27-A16F-EC743F9D12F0}"/>
    <cellStyle name="Pivot Table Category 5" xfId="3355" xr:uid="{B7BD3A40-C3DA-4842-A42E-30D981279796}"/>
    <cellStyle name="Pivot Table Category 6" xfId="3356" xr:uid="{9CFAFF85-6FE1-4BB9-8683-D2A65097B303}"/>
    <cellStyle name="Pivot Table Corner" xfId="3357" xr:uid="{F00F0010-AD27-4EDD-B5BE-74368A552EC3}"/>
    <cellStyle name="Pivot Table Corner 2" xfId="3358" xr:uid="{A47115EE-7244-49B6-8E1F-57A4C54C083D}"/>
    <cellStyle name="Pivot Table Corner 3" xfId="3359" xr:uid="{DCEABE1E-5331-44FC-8A15-600A0C49ECEC}"/>
    <cellStyle name="Pivot Table Corner 3 2" xfId="3360" xr:uid="{C4A99C23-AB35-487A-810E-1FA773E0297F}"/>
    <cellStyle name="Pivot Table Corner 4" xfId="3361" xr:uid="{846970DE-0E06-4C83-B322-EB263D343E5E}"/>
    <cellStyle name="Pivot Table Corner 5" xfId="3362" xr:uid="{8D7A7AD7-7425-4CBF-A803-EC2358F38FF4}"/>
    <cellStyle name="Pivot Table Corner 6" xfId="3363" xr:uid="{359AF1BE-D11E-42D4-87E1-C9F16654F208}"/>
    <cellStyle name="Pivot Table Field" xfId="3364" xr:uid="{EB2C412F-2057-4059-A1A0-1585BFF3B463}"/>
    <cellStyle name="Pivot Table Field 2" xfId="3365" xr:uid="{B215EA17-7B18-417B-8362-3F724D817C89}"/>
    <cellStyle name="Pivot Table Field 3" xfId="3366" xr:uid="{61895694-C63A-4226-840A-BD121A211B8D}"/>
    <cellStyle name="Pivot Table Field 3 2" xfId="3367" xr:uid="{B25E5609-7B8B-468D-BDC6-130B0B8131CB}"/>
    <cellStyle name="Pivot Table Field 4" xfId="3368" xr:uid="{CD0D0168-BEC4-4E0E-A381-31F768CBB0F7}"/>
    <cellStyle name="Pivot Table Field 5" xfId="3369" xr:uid="{D5AEFEA0-DF29-4AF1-8851-4CEF5270B23F}"/>
    <cellStyle name="Pivot Table Field 6" xfId="3370" xr:uid="{1A5EF454-0ABE-43AE-A099-1E0CDE183C7E}"/>
    <cellStyle name="Pivot Table Result" xfId="3371" xr:uid="{512BDF5A-BF8D-4404-8DC2-7EC94BD20267}"/>
    <cellStyle name="Pivot Table Result 2" xfId="3372" xr:uid="{350CDB28-89E2-45C5-A970-EC065C82DC5A}"/>
    <cellStyle name="Pivot Table Result 3" xfId="3373" xr:uid="{DD011D34-6E7A-4226-893C-176FB1C06AEA}"/>
    <cellStyle name="Pivot Table Result 3 2" xfId="3374" xr:uid="{52686BE3-2EE5-477F-AC07-B8675270F1AF}"/>
    <cellStyle name="Pivot Table Result 4" xfId="3375" xr:uid="{614120E3-F7BE-4AA7-B440-7AE40CD8A410}"/>
    <cellStyle name="Pivot Table Result 5" xfId="3376" xr:uid="{7F08E072-2CA0-4DB6-88D4-3CF949F02353}"/>
    <cellStyle name="Pivot Table Result 6" xfId="3377" xr:uid="{F4490399-04BE-43F9-B75C-DFABDA097FF4}"/>
    <cellStyle name="Pivot Table Title" xfId="3378" xr:uid="{2A768820-35C7-4C07-8D7E-FABE54917787}"/>
    <cellStyle name="Pivot Table Title 2" xfId="3379" xr:uid="{A7EEE230-70C1-4919-937E-46478B70B5AC}"/>
    <cellStyle name="Pivot Table Title 3" xfId="3380" xr:uid="{3EFF188E-1B34-4673-893D-D7CD2000EBFB}"/>
    <cellStyle name="Pivot Table Title 3 2" xfId="3381" xr:uid="{650CE210-7C0A-434B-B1F1-B376D24C9F1E}"/>
    <cellStyle name="Pivot Table Title 4" xfId="3382" xr:uid="{AD48D92B-3DF9-40CB-BB59-843EF7E8E22E}"/>
    <cellStyle name="Pivot Table Title 5" xfId="3383" xr:uid="{02D6A783-4AD4-4502-902F-27943383980E}"/>
    <cellStyle name="Pivot Table Title 6" xfId="3384" xr:uid="{FC57FE27-8765-4548-9C1A-3D26054459B4}"/>
    <cellStyle name="Pivot Table Value" xfId="3385" xr:uid="{F9C09A54-D66B-4E79-8875-654800049D45}"/>
    <cellStyle name="Pivot Table Value 2" xfId="3386" xr:uid="{3B680A89-C68C-4679-8BDF-4CED72815564}"/>
    <cellStyle name="Pivot Table Value 3" xfId="3387" xr:uid="{465DE90E-EF4F-4876-A6B7-0AE09684AEAB}"/>
    <cellStyle name="Pivot Table Value 3 2" xfId="3388" xr:uid="{683EE20B-9153-4A57-820A-040AFFF5FFF8}"/>
    <cellStyle name="Pivot Table Value 4" xfId="3389" xr:uid="{06924DCE-5A7B-45FE-8924-BA7C916A996E}"/>
    <cellStyle name="Pivot Table Value 5" xfId="3390" xr:uid="{05DBF759-8B56-4F84-ABD9-4D38AA080C5D}"/>
    <cellStyle name="Pivot Table Value 6" xfId="3391" xr:uid="{E8BD4977-DCDB-4681-9898-C7A0867EED89}"/>
    <cellStyle name="PrePop Currency (0)" xfId="3392" xr:uid="{3A0D34B7-9310-4467-ABB1-59D7E22BDAF2}"/>
    <cellStyle name="PrePop Currency (0) 2" xfId="3393" xr:uid="{A848E96E-4B6B-4B93-87E1-DC8EF0CFA0A5}"/>
    <cellStyle name="PrePop Currency (0) 2 2" xfId="3394" xr:uid="{B3A1A7DF-FA43-4CE4-9B75-CE7FE2A9450C}"/>
    <cellStyle name="PrePop Currency (0) 3" xfId="3395" xr:uid="{158514AE-86E2-4AC5-A929-D3C75385964C}"/>
    <cellStyle name="PrePop Currency (0)_Capital per unit 23.12.15 " xfId="3396" xr:uid="{B4881B1F-7421-4196-AE6E-1BDD7839F97E}"/>
    <cellStyle name="PrePop Currency (2)" xfId="3397" xr:uid="{2C66F755-C064-4791-A2C5-355C7DBB6426}"/>
    <cellStyle name="PrePop Currency (2) 2" xfId="3398" xr:uid="{5FBFC75E-5151-4C7C-8F38-C6654DEA4876}"/>
    <cellStyle name="PrePop Currency (2) 3" xfId="3399" xr:uid="{9F862942-8219-4AA0-8296-EBC3FC6AE471}"/>
    <cellStyle name="PrePop Units (0)" xfId="3400" xr:uid="{CA7CEE3F-ABF6-4F3F-9F2C-EB69117AECA0}"/>
    <cellStyle name="PrePop Units (0) 2" xfId="3401" xr:uid="{8582471F-C011-42EB-8002-64370A2700D3}"/>
    <cellStyle name="PrePop Units (0) 2 2" xfId="3402" xr:uid="{6AF42126-A966-40C8-B68F-83A112AD3E47}"/>
    <cellStyle name="PrePop Units (0) 3" xfId="3403" xr:uid="{8B9716B6-EE26-47ED-812B-D74D3B0C51FA}"/>
    <cellStyle name="PrePop Units (0)_Capital per unit 23.12.15 " xfId="3404" xr:uid="{B8CAAEBB-AEF5-412A-B09A-782155AEFD12}"/>
    <cellStyle name="PrePop Units (1)" xfId="3405" xr:uid="{878B942A-6C38-4E44-8FA1-FA00F793EECB}"/>
    <cellStyle name="PrePop Units (1) 2" xfId="3406" xr:uid="{05A864F6-F322-4E18-B145-0B63625DF3D0}"/>
    <cellStyle name="PrePop Units (1) 3" xfId="3407" xr:uid="{CD9DCB07-E6D8-4977-876A-EF5F24640B9B}"/>
    <cellStyle name="PrePop Units (2)" xfId="3408" xr:uid="{0D155F75-F16E-4206-8B37-07E58DB145B7}"/>
    <cellStyle name="PrePop Units (2) 2" xfId="3409" xr:uid="{91954B2E-F052-4902-9341-1895382177DF}"/>
    <cellStyle name="PrePop Units (2) 3" xfId="3410" xr:uid="{D9B8B3DF-592B-4C5A-9C0C-6F6E4DED3A9B}"/>
    <cellStyle name="Prozent_LAGER97" xfId="3411" xr:uid="{D3337B66-2058-494B-BCB5-3F203649F4DF}"/>
    <cellStyle name="PSChar" xfId="3412" xr:uid="{9D43AF9B-BF39-4611-994F-94C3EED1450E}"/>
    <cellStyle name="PSChar 2" xfId="3413" xr:uid="{C112DCA6-832F-42AD-A913-00EAFE516910}"/>
    <cellStyle name="PSChar 2 2" xfId="3414" xr:uid="{2C2F97A3-03B2-4D70-87EC-92372A511896}"/>
    <cellStyle name="PSChar 3" xfId="3415" xr:uid="{64D8E9DA-71DF-4456-A0A3-5C4E0EF7776D}"/>
    <cellStyle name="PSChar_Action plan - Tank" xfId="3416" xr:uid="{D9DF0179-6599-4E02-A344-FDDBF101F3C5}"/>
    <cellStyle name="PSDate" xfId="3417" xr:uid="{FE8E1DF3-1662-40F9-9573-5DDF50E5F121}"/>
    <cellStyle name="PSDate 2" xfId="3418" xr:uid="{4410CE1B-1324-4ABA-B9E6-AFEEA79726D8}"/>
    <cellStyle name="PSDate 2 2" xfId="3419" xr:uid="{34D16795-CCDB-4B33-B8D1-84426CE08595}"/>
    <cellStyle name="PSDate 3" xfId="3420" xr:uid="{A6046A72-88DB-4247-85DB-AF58C860C8FE}"/>
    <cellStyle name="PSDate_Action plan - Tank" xfId="3421" xr:uid="{97198DF4-F4B1-4AFB-ADCA-17763C0B5EEA}"/>
    <cellStyle name="PSDec" xfId="3422" xr:uid="{48876078-4AC8-4317-A57F-0E67D32B8F1C}"/>
    <cellStyle name="PSDec 2" xfId="3423" xr:uid="{11656853-8808-4760-B318-D9BC2B787657}"/>
    <cellStyle name="PSDec 2 2" xfId="3424" xr:uid="{50CD41BE-74F5-46EE-B1D4-779E9AA89925}"/>
    <cellStyle name="PSDec 3" xfId="3425" xr:uid="{B581CCCD-7C11-432E-8E8E-36835DDD5195}"/>
    <cellStyle name="PSDec_Action plan - Tank" xfId="3426" xr:uid="{FB1A3C0F-00F8-43B3-985E-42A94B13E14C}"/>
    <cellStyle name="PSHeading" xfId="3427" xr:uid="{F441983D-2CAD-4EB6-9E7A-E5BD1ABF36D9}"/>
    <cellStyle name="PSHeading 2" xfId="3428" xr:uid="{23F85DC4-32E7-4410-958A-4B5321AE22C6}"/>
    <cellStyle name="PSHeading 3" xfId="3429" xr:uid="{9ACA4B79-8581-49F5-8A6C-A998942FA78A}"/>
    <cellStyle name="PSInt" xfId="3430" xr:uid="{5642825C-8D3D-428D-A465-A4D353672426}"/>
    <cellStyle name="PSInt 2" xfId="3431" xr:uid="{503554F3-C1A0-4E05-AED6-79B65F6CD3F2}"/>
    <cellStyle name="PSInt 2 2" xfId="3432" xr:uid="{73698751-4D3A-489D-8A5B-90999DB5E965}"/>
    <cellStyle name="PSInt 3" xfId="3433" xr:uid="{14A4A30C-C319-43EA-A330-5EF9FDEE0260}"/>
    <cellStyle name="PSInt_Action plan - Tank" xfId="3434" xr:uid="{E83FBA9F-1914-4E97-8BED-13993E0D9A77}"/>
    <cellStyle name="PSSpacer" xfId="3435" xr:uid="{72406E97-765E-4071-AF18-A2EAEBFA2588}"/>
    <cellStyle name="PSSpacer 2" xfId="3436" xr:uid="{86D8B5B1-FB61-4CCC-A3BE-E18D77A30531}"/>
    <cellStyle name="PSSpacer 2 2" xfId="3437" xr:uid="{610FC039-6901-4B76-894C-F304D9010B5A}"/>
    <cellStyle name="PSSpacer 2 3" xfId="3438" xr:uid="{A7A216C8-5D27-4378-931F-D2865C236206}"/>
    <cellStyle name="PSSpacer 3" xfId="3439" xr:uid="{A2000EEA-55A0-4D1F-B2C4-92B2A0E5264C}"/>
    <cellStyle name="PSSpacer_Action plan - Tank" xfId="3440" xr:uid="{6948391E-3E79-4D08-9427-30D9B814F47E}"/>
    <cellStyle name="Ｐﾏﾄ原紙" xfId="3441" xr:uid="{AD711A40-B0A9-45AC-B2CF-B6EB0964D8EC}"/>
    <cellStyle name="Ｐﾏﾄ原紙 2" xfId="3442" xr:uid="{53227CC9-B960-4671-8D4F-77FE0D975E20}"/>
    <cellStyle name="Result" xfId="3443" xr:uid="{E6A50A7B-2909-47B0-A0CD-BBAC7CBA13EB}"/>
    <cellStyle name="Result 1" xfId="3444" xr:uid="{8B234402-4A7A-42C2-B180-6FC9086AAED3}"/>
    <cellStyle name="Result 1 2" xfId="3445" xr:uid="{E00996B4-DF40-4CDB-A443-52E7113AA2AF}"/>
    <cellStyle name="Result 2" xfId="3446" xr:uid="{ABDB4281-A89D-43A2-8CD1-9A0B4FD3A740}"/>
    <cellStyle name="Result 3" xfId="3447" xr:uid="{691C5C1C-183F-40D2-A939-2B24105ED3F6}"/>
    <cellStyle name="Result 4" xfId="3448" xr:uid="{CCC4E574-9210-46FD-A5A0-971967C78FB3}"/>
    <cellStyle name="Result2" xfId="3449" xr:uid="{507855F5-5544-47EF-A685-B89D30E6D537}"/>
    <cellStyle name="Result2 1" xfId="3450" xr:uid="{B9223729-CBBC-459B-BF89-553B5D2CBEB4}"/>
    <cellStyle name="Result2 1 2" xfId="3451" xr:uid="{ACB21CA1-3E02-4A4D-A58E-4EFC36781A41}"/>
    <cellStyle name="Result2 2" xfId="3452" xr:uid="{F6D756C0-BC21-4111-8931-76B18933F6DC}"/>
    <cellStyle name="Result2 3" xfId="3453" xr:uid="{AE05B70C-78BD-4D27-BB36-7939ED344164}"/>
    <cellStyle name="RevList" xfId="3454" xr:uid="{C2C9B5C6-3B89-4B71-9207-B25C0FF554C3}"/>
    <cellStyle name="RevList 2" xfId="3455" xr:uid="{A580F659-AA18-48A0-AB94-BA769E60D622}"/>
    <cellStyle name="RevList 2 2" xfId="3456" xr:uid="{252F12B0-3DDD-40A1-BF21-70EEE3D77FEC}"/>
    <cellStyle name="RevList 3" xfId="3457" xr:uid="{196A8705-8DDF-4E4D-AA97-FEAD7C01115E}"/>
    <cellStyle name="RevList_Book1" xfId="3458" xr:uid="{AE5BA03D-E9A0-4C49-ADBB-98EA2C2E7BCA}"/>
    <cellStyle name="Separador de milhares [0]_TBASE-01" xfId="3459" xr:uid="{60C7591B-E391-47D2-A882-EF0B63FD47A2}"/>
    <cellStyle name="Separador de milhares_CW170_8" xfId="3460" xr:uid="{5BACED19-D797-45C4-AB78-1107FABC1435}"/>
    <cellStyle name="smaller" xfId="3461" xr:uid="{877D6BED-13E0-4962-BE6C-579ED9153D41}"/>
    <cellStyle name="smaller 2" xfId="3462" xr:uid="{B9DD2F49-B926-4C96-9BF2-6CA9A39F6809}"/>
    <cellStyle name="STANDARD" xfId="3463" xr:uid="{2C3FAC94-4176-4930-8488-60F7A54D401D}"/>
    <cellStyle name="STANDARD 2" xfId="3464" xr:uid="{B3662903-6B12-48FC-B23E-22A1B54E8423}"/>
    <cellStyle name="STANDARD 3" xfId="3465" xr:uid="{F5700A16-828A-483F-9019-71A1FB9FCFAA}"/>
    <cellStyle name="stkout" xfId="3466" xr:uid="{4251A7E7-C914-433B-9FC2-946617F9D022}"/>
    <cellStyle name="stkout 2" xfId="3467" xr:uid="{E83E17E4-8104-4DFC-9F0E-3FAF838A6CD8}"/>
    <cellStyle name="STYL1 - Style1" xfId="3468" xr:uid="{421825EB-921E-4EB6-81BD-B81DDDDC22BC}"/>
    <cellStyle name="STYL1 - Style1 2" xfId="3469" xr:uid="{19603B25-1F24-46F2-8046-97F8F32C4885}"/>
    <cellStyle name="STYL2 - Style2" xfId="3470" xr:uid="{4D7C9AE5-FA13-4235-BCD1-D16FA86B1F6A}"/>
    <cellStyle name="STYL2 - Style2 2" xfId="3471" xr:uid="{AFD94CAE-EB17-43B6-846D-3F2DB1D3128E}"/>
    <cellStyle name="STYL3 - Style3" xfId="3472" xr:uid="{955997AF-FD6E-4661-A816-C6E5B39C561E}"/>
    <cellStyle name="STYL3 - Style3 2" xfId="3473" xr:uid="{A71FD2B6-2C4C-4B56-A5AC-D04296AC59AA}"/>
    <cellStyle name="STYL4 - Style4" xfId="3474" xr:uid="{9CB9A67B-D1A8-4445-A626-225027495A6D}"/>
    <cellStyle name="STYL4 - Style4 2" xfId="3475" xr:uid="{10F5B7B2-889A-4DEB-B4DD-EFB85E67D1F9}"/>
    <cellStyle name="STYL5 - Style5" xfId="3476" xr:uid="{B5E35BED-B6E5-4D9F-85EF-2020221E0ADC}"/>
    <cellStyle name="STYL5 - Style5 2" xfId="3477" xr:uid="{C6C4A440-3A31-415C-86E1-6C9A452BFAB9}"/>
    <cellStyle name="Style 1" xfId="3478" xr:uid="{7F0263CF-ECC4-4C91-A400-6BB024DE2DDC}"/>
    <cellStyle name="Style 1 2" xfId="3479" xr:uid="{D7046FF3-9674-4E94-B7F3-3D699EF3E0C9}"/>
    <cellStyle name="Style 10" xfId="3480" xr:uid="{08F6FE1B-017E-46BD-B7BC-49F776407F61}"/>
    <cellStyle name="Style 11" xfId="3481" xr:uid="{1081E3E1-634D-4DB8-ABBF-3548B5901D22}"/>
    <cellStyle name="Style 12" xfId="3482" xr:uid="{E38FB607-8176-4F66-9B71-62439D12D9F2}"/>
    <cellStyle name="Style 13" xfId="3483" xr:uid="{72E73070-EE35-46A1-8BD4-7136C5589DD8}"/>
    <cellStyle name="Style 14" xfId="3484" xr:uid="{AB16947C-8EC2-4D8F-A730-27156A57DDAA}"/>
    <cellStyle name="Style 15" xfId="3485" xr:uid="{2A67DAEC-6262-4CEE-90D7-651FF116117C}"/>
    <cellStyle name="Style 16" xfId="3486" xr:uid="{1C02B7EE-0FD6-4CBC-A08A-19733192D353}"/>
    <cellStyle name="Style 17" xfId="3487" xr:uid="{D9982DC5-2C26-4E02-93A4-AEA73CAB65C0}"/>
    <cellStyle name="Style 18" xfId="3488" xr:uid="{65156D5D-353E-486D-B62C-3362F5053267}"/>
    <cellStyle name="Style 19" xfId="3489" xr:uid="{3CBB1852-929F-4ED6-80B0-C401D24AAD0D}"/>
    <cellStyle name="Style 2" xfId="3490" xr:uid="{5FF22F08-1A1E-4EC4-A4C0-DDE0B7A7E44E}"/>
    <cellStyle name="Style 2 2" xfId="3491" xr:uid="{0F8A34C9-BB30-4CD4-852A-CCAF1FA4A80F}"/>
    <cellStyle name="Style 20" xfId="3492" xr:uid="{A82901ED-5EBF-4A12-B9DA-0A1BD4855EA5}"/>
    <cellStyle name="Style 21" xfId="3493" xr:uid="{39826F11-EF4A-4B7C-BFC8-284D63CE1E45}"/>
    <cellStyle name="Style 22" xfId="3494" xr:uid="{64405CB1-A15C-40C1-BD38-7A4B812CCCC4}"/>
    <cellStyle name="Style 23" xfId="3495" xr:uid="{4C0540C0-6896-45E7-8E35-D166CD9D368E}"/>
    <cellStyle name="Style 24" xfId="3496" xr:uid="{E973CE7E-DD88-4D06-B9DF-BA30931D3C81}"/>
    <cellStyle name="Style 25" xfId="3497" xr:uid="{5788BDAF-1BD4-48A4-8500-C0146569A90C}"/>
    <cellStyle name="Style 26" xfId="3498" xr:uid="{428C2EFF-AB12-4950-B0CA-6B96615335B5}"/>
    <cellStyle name="Style 27" xfId="3499" xr:uid="{9A725FB9-C0A0-44E7-9864-FB8D76FB1B29}"/>
    <cellStyle name="Style 28" xfId="3500" xr:uid="{41FDA1E3-8AE5-46B8-AC26-B5A7A9728422}"/>
    <cellStyle name="Style 29" xfId="3501" xr:uid="{6ED64949-A6BC-4957-91F7-3B7566C80A49}"/>
    <cellStyle name="Style 3" xfId="3502" xr:uid="{7FEF4379-CAFC-4D1D-A449-0548BAA79578}"/>
    <cellStyle name="Style 3 2" xfId="3503" xr:uid="{9C690210-3BEB-4ED1-8B44-E8C723C69677}"/>
    <cellStyle name="Style 30" xfId="3504" xr:uid="{E9ED9C28-926C-4D09-BDC8-C82E38D1CA64}"/>
    <cellStyle name="Style 31" xfId="3505" xr:uid="{22EBA13E-703B-463F-AC96-39E5E3F87F22}"/>
    <cellStyle name="Style 32" xfId="3506" xr:uid="{064BF505-7105-4A0B-AC94-1BFB88302AC4}"/>
    <cellStyle name="Style 33" xfId="3507" xr:uid="{C9D7B5E6-21ED-45A0-BE3B-505BD4279F9B}"/>
    <cellStyle name="Style 34" xfId="3508" xr:uid="{838F6070-4803-4223-88D9-2140F00E19FD}"/>
    <cellStyle name="Style 35" xfId="3509" xr:uid="{7812EE11-397F-406A-B0C5-645FF8083118}"/>
    <cellStyle name="Style 36" xfId="3510" xr:uid="{80DA9766-2986-49F6-9E8B-64AD32F3BE6D}"/>
    <cellStyle name="Style 37" xfId="3511" xr:uid="{F248F899-5EB4-46FA-B6BC-EF9B4AFA6C0C}"/>
    <cellStyle name="Style 38" xfId="3512" xr:uid="{4223DB28-03CF-4A34-805D-055D1CDA6ECE}"/>
    <cellStyle name="Style 39" xfId="3513" xr:uid="{70236FBF-A870-447F-AB4E-2DA6F5230416}"/>
    <cellStyle name="Style 4" xfId="3514" xr:uid="{70BFB1F9-B5B4-482F-9B8C-A172E39DBB67}"/>
    <cellStyle name="Style 4 2" xfId="3515" xr:uid="{F79BC9EC-DD2C-4868-8657-34632B81BF19}"/>
    <cellStyle name="Style 40" xfId="3516" xr:uid="{305D0A04-2ADC-4561-9ECC-51653B370659}"/>
    <cellStyle name="Style 41" xfId="3517" xr:uid="{43B2B5A6-87C5-4734-B820-F46CEE07EC90}"/>
    <cellStyle name="Style 42" xfId="3518" xr:uid="{613711AC-4FC0-4D85-BAC5-FE15A8B8F831}"/>
    <cellStyle name="Style 43" xfId="3519" xr:uid="{41F31A92-EF17-4DAA-9AE6-32B800B6BAFA}"/>
    <cellStyle name="Style 44" xfId="3520" xr:uid="{CCBD2E5D-6AE8-451F-A0A3-55B9561A35EF}"/>
    <cellStyle name="Style 45" xfId="3521" xr:uid="{4C475313-49CA-4852-9FB8-C35D9F3B2B43}"/>
    <cellStyle name="Style 46" xfId="3522" xr:uid="{10228966-5E7A-4767-99C4-147C746A3586}"/>
    <cellStyle name="Style 5" xfId="3523" xr:uid="{5401AAD3-705D-4256-B466-C82B15CC0B3D}"/>
    <cellStyle name="Style 5 2" xfId="3524" xr:uid="{12B3B41A-E50D-474F-AE4A-C691CDCCCD44}"/>
    <cellStyle name="Style 6" xfId="3525" xr:uid="{9F9BB5A7-F4F4-4FE8-AE49-65C9EA51012F}"/>
    <cellStyle name="Style 7" xfId="3526" xr:uid="{F2F78B28-E86C-46B8-84B0-6D0CCDDA707A}"/>
    <cellStyle name="Style 8" xfId="3527" xr:uid="{6E4181EE-4E38-41E7-8355-D7E1172EBFE9}"/>
    <cellStyle name="Style 9" xfId="3528" xr:uid="{B4B55EF4-9198-4D03-887B-493C7FFEE6DA}"/>
    <cellStyle name="subhead" xfId="3529" xr:uid="{54363471-4257-47AD-8B55-C67908732A29}"/>
    <cellStyle name="subhead 2" xfId="3530" xr:uid="{5A55B31F-85CD-472B-A5AE-A46A970F7849}"/>
    <cellStyle name="subhead 2 2" xfId="3531" xr:uid="{AA1AC6F5-BC15-4F98-B81D-B98EDACA064D}"/>
    <cellStyle name="subhead 2 3" xfId="3532" xr:uid="{9E05271E-AF49-4B52-9389-33070C70CEBE}"/>
    <cellStyle name="subhead 3" xfId="3533" xr:uid="{F32C4181-19CC-4638-A284-69F863FD3A19}"/>
    <cellStyle name="subhead 4" xfId="3534" xr:uid="{2423D56E-FC32-4D65-8C7E-C11323B1CB43}"/>
    <cellStyle name="subhead_Action plan - Tank" xfId="3535" xr:uid="{B1078C7D-5393-4B21-BE03-71FDEAC2C49A}"/>
    <cellStyle name="Subtotal" xfId="3536" xr:uid="{FBF95FF0-EF6C-43A8-8960-4EAAB23661F5}"/>
    <cellStyle name="Subtotal 2" xfId="3537" xr:uid="{6BD99528-DA6B-4A20-B426-C5C7AB023179}"/>
    <cellStyle name="Subtotal 2 2" xfId="3538" xr:uid="{B24DE81E-C8BB-4F03-A42D-4344B2AF4408}"/>
    <cellStyle name="Subtotal 3" xfId="3539" xr:uid="{D318FC65-3EAD-4EEE-82F9-47A9B39A249D}"/>
    <cellStyle name="Subtotal_Book1" xfId="3540" xr:uid="{6CD5A618-2447-4477-A6BF-12C579667B73}"/>
    <cellStyle name="TableStyleLight1" xfId="3541" xr:uid="{59F74652-A637-4AD3-BC27-BBBD3532B127}"/>
    <cellStyle name="TableStyleLight1 2" xfId="3542" xr:uid="{B7E78F86-8D20-4D96-8710-3BEA91C18023}"/>
    <cellStyle name="TableStyleLight1 2 2" xfId="3543" xr:uid="{31F9E4DE-0EE0-4CBD-A677-D7F6D3717481}"/>
    <cellStyle name="TableStyleLight1 3" xfId="3544" xr:uid="{1F22FA12-86D4-482F-A447-D43FC2FE49F4}"/>
    <cellStyle name="TableStyleLight1 3 2" xfId="3545" xr:uid="{2C06A9F1-FA3A-43E0-B644-9855581D2E7C}"/>
    <cellStyle name="TableStyleLight1 4" xfId="3546" xr:uid="{A4B13291-9328-48A5-AFE0-BFAFFC96E1B2}"/>
    <cellStyle name="TableStyleLight1_Capital Budget  17-18 Calendar(1)" xfId="3547" xr:uid="{904A5609-EA37-4BE3-BEB7-2F590567ED47}"/>
    <cellStyle name="Text Indent A" xfId="3548" xr:uid="{E9A18203-661E-4E81-9793-255CD6A19049}"/>
    <cellStyle name="Text Indent A 2" xfId="3549" xr:uid="{23585D94-400D-49B8-ADCA-EAEF64BE0C7A}"/>
    <cellStyle name="Text Indent B" xfId="3550" xr:uid="{7AD8CD57-304B-4461-A146-AC944A039F5C}"/>
    <cellStyle name="Text Indent B 2" xfId="3551" xr:uid="{44821FB2-3AA1-466E-9AD9-045F36E78EB6}"/>
    <cellStyle name="Text Indent B 3" xfId="3552" xr:uid="{601A303E-E422-4A83-87B6-7B119B0AF856}"/>
    <cellStyle name="Text Indent C" xfId="3553" xr:uid="{3D38D512-3B0C-429B-9F41-5A7E8801AD37}"/>
    <cellStyle name="Text Indent C 2" xfId="3554" xr:uid="{8A222EF8-B4BC-4B63-81A5-7E345DDD8EC8}"/>
    <cellStyle name="Text Indent C 2 2" xfId="3555" xr:uid="{948534A8-1B45-48A8-B2B2-472E4F39A834}"/>
    <cellStyle name="Text Indent C 3" xfId="3556" xr:uid="{B5B89C3A-FB11-43B9-8A72-FD5238CDD47E}"/>
    <cellStyle name="Text Indent C_Capital per unit 23.12.15 " xfId="3557" xr:uid="{AC5F6FCA-9FE4-4D75-BD44-CE72F36C9032}"/>
    <cellStyle name="Times New Roman" xfId="3558" xr:uid="{5A0735BA-E9F4-4922-9E8C-59E0176501B1}"/>
    <cellStyle name="Times New Roman 2" xfId="3559" xr:uid="{86E7A1AD-7C86-4279-9E55-8CAC7D7F9F5C}"/>
    <cellStyle name="Title 10" xfId="3560" xr:uid="{C8442E76-A520-4D05-B18B-C2C7B86E6361}"/>
    <cellStyle name="Title 10 2" xfId="3561" xr:uid="{437340ED-8650-45A7-8D1D-EF6362F52F0B}"/>
    <cellStyle name="Title 11" xfId="3562" xr:uid="{45C1B3A2-B6BC-4F22-9ED1-73AA45186897}"/>
    <cellStyle name="Title 11 2" xfId="3563" xr:uid="{414B92DF-07DB-42A0-900F-7C5E236C0904}"/>
    <cellStyle name="Title 12" xfId="3564" xr:uid="{CE77DECF-91FF-4B1F-A9CD-9CF496572DB4}"/>
    <cellStyle name="Title 12 2" xfId="3565" xr:uid="{151DC284-78FE-4F56-A832-C378F0214C54}"/>
    <cellStyle name="Title 13" xfId="3566" xr:uid="{FA85ECB3-FAF4-40E2-ADE0-DE36C96A0B3C}"/>
    <cellStyle name="Title 13 2" xfId="3567" xr:uid="{60E4FE5C-DF18-4511-927E-7EA166310E8B}"/>
    <cellStyle name="Title 14" xfId="3568" xr:uid="{74EC05CE-50EE-4A2D-AA60-2613144065F4}"/>
    <cellStyle name="Title 2" xfId="3569" xr:uid="{EF2FF968-C442-4B5F-BEBC-C266532C31D8}"/>
    <cellStyle name="Title 2 2" xfId="3570" xr:uid="{31DE1805-CC0E-4AA6-84A3-31E84A4D9536}"/>
    <cellStyle name="Title 2 2 2" xfId="3571" xr:uid="{5BF6F572-908A-4C87-88F5-48AED3AC9EAA}"/>
    <cellStyle name="Title 2 3" xfId="3572" xr:uid="{582BA0DC-A843-48B4-BD67-863E9AEA97FB}"/>
    <cellStyle name="Title 2_2012" xfId="3573" xr:uid="{11C29E52-2EA2-4585-8477-9570A51B3011}"/>
    <cellStyle name="Title 3" xfId="3574" xr:uid="{D813D031-0048-4F2E-A0B7-135FB2AD3570}"/>
    <cellStyle name="Title 3 2" xfId="3575" xr:uid="{92C280FF-E358-4A9A-8795-E69377DA8D38}"/>
    <cellStyle name="Title 4" xfId="3576" xr:uid="{7BC8A8A5-8429-43AE-BA90-420A5330F072}"/>
    <cellStyle name="Title 4 2" xfId="3577" xr:uid="{582CB6EB-AAE4-42DF-A9BF-D2978834594C}"/>
    <cellStyle name="Title 5" xfId="3578" xr:uid="{222F88C5-1D33-4507-9544-3E9AFFD605A4}"/>
    <cellStyle name="Title 5 2" xfId="3579" xr:uid="{68C27D17-9F39-4C7E-BCBF-E2BB47B272DD}"/>
    <cellStyle name="Title 6" xfId="3580" xr:uid="{9DB8E810-EDA4-4D7E-8818-63F24B7F2915}"/>
    <cellStyle name="Title 6 2" xfId="3581" xr:uid="{39575F43-9C65-4EF8-9CC9-B4126B9E6777}"/>
    <cellStyle name="Title 7" xfId="3582" xr:uid="{2BE7EF67-8648-4E9F-A3B8-CE7CA0E909AD}"/>
    <cellStyle name="Title 7 2" xfId="3583" xr:uid="{8A1251ED-F5EA-49B2-978A-61515B4A8550}"/>
    <cellStyle name="Title 8" xfId="3584" xr:uid="{5D9A5A15-431A-42D5-AB05-6FCC1E322172}"/>
    <cellStyle name="Title 8 2" xfId="3585" xr:uid="{4A3C8E2B-2B71-4262-B0A5-B41D28E3459D}"/>
    <cellStyle name="Title 9" xfId="3586" xr:uid="{4F473CC4-C26F-48FC-B8C4-19FB3834451F}"/>
    <cellStyle name="Title 9 2" xfId="3587" xr:uid="{1378AEF4-C8B5-4C6A-86BB-7CFEBD184151}"/>
    <cellStyle name="Total 10" xfId="3588" xr:uid="{402E5F2D-56C6-43D3-9AF2-A1877B930174}"/>
    <cellStyle name="Total 10 2" xfId="3589" xr:uid="{E0482528-D00D-49B3-B9C1-565C08747DC4}"/>
    <cellStyle name="Total 10 3" xfId="3590" xr:uid="{E3EAE9DF-7134-4E51-956E-CBC0EB751C99}"/>
    <cellStyle name="Total 10 4" xfId="3591" xr:uid="{6975AC7C-C9C2-47FF-84AF-F6580F79C1C5}"/>
    <cellStyle name="Total 10 5" xfId="3592" xr:uid="{B4924F2E-7983-4D7E-8627-FF3E92711E17}"/>
    <cellStyle name="Total 10 6" xfId="3593" xr:uid="{10BCE6AC-7F35-46B5-BCD0-605DACAD09F9}"/>
    <cellStyle name="Total 11" xfId="3594" xr:uid="{67F35D19-65B9-431A-82C6-0CD44EED8CC8}"/>
    <cellStyle name="Total 11 2" xfId="3595" xr:uid="{17811F29-57DB-4795-BF27-E26F9B70DBDC}"/>
    <cellStyle name="Total 11 3" xfId="3596" xr:uid="{61D6B3FA-0A19-48C9-B6DB-4DB5616DD98D}"/>
    <cellStyle name="Total 11 4" xfId="3597" xr:uid="{A02C52E6-4B7C-40F2-A85A-420FCE227B83}"/>
    <cellStyle name="Total 11 5" xfId="3598" xr:uid="{A9AE422A-DB93-4EB8-9B4C-4E2D6EB601F3}"/>
    <cellStyle name="Total 11 6" xfId="3599" xr:uid="{6B0ECAA2-F094-49C8-BC7A-4BFE7683ADB5}"/>
    <cellStyle name="Total 12" xfId="3600" xr:uid="{C4A94280-A094-4BAF-8E2A-36EF7F3BD0C3}"/>
    <cellStyle name="Total 12 2" xfId="3601" xr:uid="{03D79E2C-91A9-4917-A650-F84ADC30FA25}"/>
    <cellStyle name="Total 12 3" xfId="3602" xr:uid="{AD83AB65-7EB9-4F0F-9E7A-F57332F1B9BD}"/>
    <cellStyle name="Total 12 4" xfId="3603" xr:uid="{9EC610B1-56B9-486B-A76F-FD917F113EBE}"/>
    <cellStyle name="Total 12 5" xfId="3604" xr:uid="{94CE3EC3-142F-4670-A5C1-EBCA5556347B}"/>
    <cellStyle name="Total 12 6" xfId="3605" xr:uid="{CF94096A-954B-4373-99F2-FA45963BF090}"/>
    <cellStyle name="Total 13" xfId="3606" xr:uid="{10499848-64DE-4551-B364-F28570DBA9D1}"/>
    <cellStyle name="Total 13 2" xfId="3607" xr:uid="{8C6E9FC0-A4C2-42E4-9813-9168C67E5B50}"/>
    <cellStyle name="Total 13 3" xfId="3608" xr:uid="{97992E60-403D-4AC1-8D2C-7B44CBB1932D}"/>
    <cellStyle name="Total 13 4" xfId="3609" xr:uid="{9B6489EE-B86F-4CC5-B013-DDC8F898FA28}"/>
    <cellStyle name="Total 13 5" xfId="3610" xr:uid="{BDE14700-1039-468D-8E84-CBF10AAC860B}"/>
    <cellStyle name="Total 13 6" xfId="3611" xr:uid="{983E9569-45D8-42ED-8DEE-8BA25C2BB56C}"/>
    <cellStyle name="Total 14" xfId="3612" xr:uid="{52ED4AE4-CAF2-42DC-9BD9-493C2D7E293A}"/>
    <cellStyle name="Total 2" xfId="3613" xr:uid="{D6426FDB-0EB8-46FB-A54C-233737D359C8}"/>
    <cellStyle name="Total 2 2" xfId="3614" xr:uid="{0AF08F03-8E01-4F00-8903-82B614CF8580}"/>
    <cellStyle name="Total 2 2 2" xfId="3615" xr:uid="{0A451CE5-4CBD-4B3A-A484-9CB765D9135C}"/>
    <cellStyle name="Total 2 2 3" xfId="3616" xr:uid="{B94C9FEB-69C1-47C3-A6D8-E59F7042439A}"/>
    <cellStyle name="Total 2 2 4" xfId="3617" xr:uid="{6B5A03C1-DA40-4D40-A351-07C539DBDC35}"/>
    <cellStyle name="Total 2 2 5" xfId="3618" xr:uid="{2F63543D-B826-42B4-A4B0-14488B626135}"/>
    <cellStyle name="Total 2 2 6" xfId="3619" xr:uid="{8C303B36-9EAE-42F1-B6CA-24D37C70807D}"/>
    <cellStyle name="Total 2 3" xfId="3620" xr:uid="{BD97869E-C2B9-4D1C-BBB2-B9BBC442F50C}"/>
    <cellStyle name="Total 2 4" xfId="3621" xr:uid="{EED6AB14-A090-42FE-B85B-6502AD475D7C}"/>
    <cellStyle name="Total 2 5" xfId="3622" xr:uid="{3BE0395F-0867-45E3-BC3F-EEFA07B397D5}"/>
    <cellStyle name="Total 2 6" xfId="3623" xr:uid="{7C11ECFF-B496-4FA7-B464-E15175F39C84}"/>
    <cellStyle name="Total 2 7" xfId="3624" xr:uid="{F656977F-6DE7-49E8-986C-33D1522A9439}"/>
    <cellStyle name="Total 2_2.Control Points-Prabu-2012-13" xfId="3625" xr:uid="{1EF1AEAA-99BD-4BF6-8328-15340FAB42F0}"/>
    <cellStyle name="Total 3" xfId="3626" xr:uid="{A211E95B-BA0F-4846-8C4E-5B55CCBE6C41}"/>
    <cellStyle name="Total 3 2" xfId="3627" xr:uid="{7A5E44D6-F77B-4478-BED8-E8C95838508E}"/>
    <cellStyle name="Total 3 3" xfId="3628" xr:uid="{1044376D-AB72-4756-8D61-66B480DCDFD8}"/>
    <cellStyle name="Total 3 4" xfId="3629" xr:uid="{C7F6814C-378A-43F7-B1EF-3924DB418012}"/>
    <cellStyle name="Total 3 5" xfId="3630" xr:uid="{A167BE15-DD13-4C7F-99B0-630DD521F1F8}"/>
    <cellStyle name="Total 3 6" xfId="3631" xr:uid="{07286F96-5EB0-4F72-B21B-24D130DBFCED}"/>
    <cellStyle name="Total 4" xfId="3632" xr:uid="{EE25A294-EAB5-4921-B7FF-35BBD8DA22B0}"/>
    <cellStyle name="Total 4 2" xfId="3633" xr:uid="{ADF0AB7C-639A-45C2-AAA4-2CACF69E17A8}"/>
    <cellStyle name="Total 4 3" xfId="3634" xr:uid="{10167B5F-82DB-4D06-8E0E-5A17373FB10F}"/>
    <cellStyle name="Total 4 4" xfId="3635" xr:uid="{D5B2DFF2-B34F-4E8B-B32B-CA8959C44CB8}"/>
    <cellStyle name="Total 4 5" xfId="3636" xr:uid="{01A01CB0-DCF3-448E-8F47-FD26E905AD97}"/>
    <cellStyle name="Total 4 6" xfId="3637" xr:uid="{10DC452F-49E7-40CC-910B-E86AE2158C62}"/>
    <cellStyle name="Total 5" xfId="3638" xr:uid="{0C72D9E3-4765-47A9-B62C-443141EB7D58}"/>
    <cellStyle name="Total 5 2" xfId="3639" xr:uid="{F1DA6B84-B183-4BFC-9295-39813F0EDBA9}"/>
    <cellStyle name="Total 5 3" xfId="3640" xr:uid="{E5271980-6CEF-4B83-976F-DB6D12486882}"/>
    <cellStyle name="Total 5 4" xfId="3641" xr:uid="{2B2B9B45-BFA6-42DA-BDA6-5A39ADBD4E74}"/>
    <cellStyle name="Total 5 5" xfId="3642" xr:uid="{20190DDF-CE59-41D2-B7EC-CD03D223577F}"/>
    <cellStyle name="Total 5 6" xfId="3643" xr:uid="{EBEA0774-0C7E-4874-A1D1-E6D616F349B1}"/>
    <cellStyle name="Total 6" xfId="3644" xr:uid="{1EC5F333-949B-48A0-A0A0-BDA321DA30FA}"/>
    <cellStyle name="Total 6 2" xfId="3645" xr:uid="{661B72C7-FBA5-4316-A4DA-BB7E21A3DA96}"/>
    <cellStyle name="Total 6 3" xfId="3646" xr:uid="{8C2EB3B1-3BEB-4030-87EC-19DAE8989A23}"/>
    <cellStyle name="Total 6 4" xfId="3647" xr:uid="{D06B6A69-5409-4286-9814-EF27D1D39A6B}"/>
    <cellStyle name="Total 6 5" xfId="3648" xr:uid="{A6A06AD0-CCD5-429A-8140-00EA851EA341}"/>
    <cellStyle name="Total 6 6" xfId="3649" xr:uid="{F206A401-9DB5-4854-A047-20E61DEB24A6}"/>
    <cellStyle name="Total 7" xfId="3650" xr:uid="{1ABDDE5F-85F9-4E7C-B695-DE686389E2B4}"/>
    <cellStyle name="Total 7 2" xfId="3651" xr:uid="{75839995-E599-4F62-9B44-CDEB87BEABC3}"/>
    <cellStyle name="Total 7 3" xfId="3652" xr:uid="{8DC04267-359E-41AC-B1B0-AF9A0E504553}"/>
    <cellStyle name="Total 7 4" xfId="3653" xr:uid="{291C56E0-E01F-48B6-9DD6-81CEADC8282C}"/>
    <cellStyle name="Total 7 5" xfId="3654" xr:uid="{B24CFE8A-FAE1-44D2-91B1-2E86F5890A28}"/>
    <cellStyle name="Total 7 6" xfId="3655" xr:uid="{AC35DAA0-75CC-4619-9249-5F2003A7D870}"/>
    <cellStyle name="Total 8" xfId="3656" xr:uid="{BE55B1E7-C92E-48F4-8492-FE2AC0FCDC64}"/>
    <cellStyle name="Total 8 2" xfId="3657" xr:uid="{B4E29698-0C25-49CA-8C41-421F8D903E1E}"/>
    <cellStyle name="Total 8 3" xfId="3658" xr:uid="{F7E214E2-CB87-488A-B28D-1BEBB0831052}"/>
    <cellStyle name="Total 8 4" xfId="3659" xr:uid="{3460E3D6-6E2B-4F94-B8FC-9FB7B267C413}"/>
    <cellStyle name="Total 8 5" xfId="3660" xr:uid="{9FB304A5-598C-4FE4-9A64-04BB97E1F5E9}"/>
    <cellStyle name="Total 8 6" xfId="3661" xr:uid="{E0515988-31E2-447C-9F67-574D69541C5A}"/>
    <cellStyle name="Total 9" xfId="3662" xr:uid="{F0C65EEA-9DBE-4858-8B1C-F68568591B47}"/>
    <cellStyle name="Total 9 2" xfId="3663" xr:uid="{2FE4ED4C-0FA8-4A94-A264-83510594D38B}"/>
    <cellStyle name="Total 9 3" xfId="3664" xr:uid="{741EB764-9950-4C49-AA74-F0744EDEB697}"/>
    <cellStyle name="Total 9 4" xfId="3665" xr:uid="{5D269078-14E8-470D-9DE5-A8886B22042C}"/>
    <cellStyle name="Total 9 5" xfId="3666" xr:uid="{B8845476-02D3-4BCB-9E6B-0A33AC902D7C}"/>
    <cellStyle name="Total 9 6" xfId="3667" xr:uid="{A88C9502-3D20-4512-B4F2-7D17DC56C8CA}"/>
    <cellStyle name="tttttt" xfId="3668" xr:uid="{8F36A3DC-FBFC-41D3-8A15-F06AC9518E9C}"/>
    <cellStyle name="tttttt 2" xfId="3669" xr:uid="{63063B1C-4D7C-43BA-9470-8C2B073B5BA8}"/>
    <cellStyle name="tttttt 3" xfId="3670" xr:uid="{350CB8A8-E8A0-4942-9640-35BA9F4D1B3C}"/>
    <cellStyle name="Unit" xfId="3671" xr:uid="{B92D39EA-77B8-402C-9EC1-3D32BD4BED6A}"/>
    <cellStyle name="Unit 2" xfId="3672" xr:uid="{071B095F-DBDC-49BB-9F2C-ED8C2DDEE421}"/>
    <cellStyle name="Update" xfId="3673" xr:uid="{609DF6AC-3E4C-4B4D-ADFD-2B141B8098A2}"/>
    <cellStyle name="Update 2" xfId="3674" xr:uid="{4B98D92B-38AD-4C91-90BF-1AA032F256E8}"/>
    <cellStyle name="Valuta (0)_VERA" xfId="3675" xr:uid="{1E70DE5A-C1A1-4254-9EDD-38CEA18B19D8}"/>
    <cellStyle name="Valuta_VERA" xfId="3676" xr:uid="{4925BCD0-2B3E-4838-A7C3-C8CD50266982}"/>
    <cellStyle name="Währung [0]_!!!GO" xfId="3677" xr:uid="{883C1F0A-DB09-44BE-989A-BE1F9B067B07}"/>
    <cellStyle name="Währung_!!!GO" xfId="3678" xr:uid="{47E84F4E-6894-4757-8AFB-24B4E56CDF86}"/>
    <cellStyle name="Währung0" xfId="3679" xr:uid="{EB76C063-0ECF-47A2-B274-1EC08A2AADBE}"/>
    <cellStyle name="Walutowy [0]_quotation1" xfId="3680" xr:uid="{DFABB0EB-84C0-40B9-8A04-6ADF069C8AFF}"/>
    <cellStyle name="Walutowy_quotation1" xfId="3681" xr:uid="{A1AC562F-B5DB-4DA0-AC02-CAF867B3B9FB}"/>
    <cellStyle name="Warning Text 10" xfId="3682" xr:uid="{11CBC1B6-FC07-4FC4-A6F4-FE205060996A}"/>
    <cellStyle name="Warning Text 10 2" xfId="3683" xr:uid="{D9D30D80-8D15-4872-A7A1-680A016AD96F}"/>
    <cellStyle name="Warning Text 11" xfId="3684" xr:uid="{A067CED4-F0AD-43EE-9F8A-9B29EE80FFAE}"/>
    <cellStyle name="Warning Text 11 2" xfId="3685" xr:uid="{55AD726D-E39F-422B-BE4A-484A32F05516}"/>
    <cellStyle name="Warning Text 12" xfId="3686" xr:uid="{7D5D9210-AB42-43CE-AE8F-4074308761E3}"/>
    <cellStyle name="Warning Text 12 2" xfId="3687" xr:uid="{901A65D6-B678-45E3-B077-90B406D9AB5C}"/>
    <cellStyle name="Warning Text 13" xfId="3688" xr:uid="{2DDDC96A-5FDA-4E25-AF22-E519D986E217}"/>
    <cellStyle name="Warning Text 13 2" xfId="3689" xr:uid="{25CE33F7-ED5E-4BC7-9A6A-04745A699CD3}"/>
    <cellStyle name="Warning Text 14" xfId="3690" xr:uid="{03F3644D-105F-47C2-BDF2-21B04FF03143}"/>
    <cellStyle name="Warning Text 2" xfId="3691" xr:uid="{79E6F891-EB04-4B2C-93FE-C0A997567ADB}"/>
    <cellStyle name="Warning Text 2 2" xfId="3692" xr:uid="{FEAEA53C-A28B-48D7-A733-1E81F5E68C79}"/>
    <cellStyle name="Warning Text 2 2 2" xfId="3693" xr:uid="{6F4D0341-68E2-4062-84CD-2C00B1963099}"/>
    <cellStyle name="Warning Text 2 3" xfId="3694" xr:uid="{AD992AA1-4385-4A93-ABE5-0EDA222D3E7A}"/>
    <cellStyle name="Warning Text 2_2012" xfId="3695" xr:uid="{44E324B1-641D-4A3A-9177-C4FD03305CE1}"/>
    <cellStyle name="Warning Text 3" xfId="3696" xr:uid="{F605128D-AFA6-489A-91FF-6FD84F4059C9}"/>
    <cellStyle name="Warning Text 3 2" xfId="3697" xr:uid="{5D7AFD85-0DE0-48EE-8580-4B1B80898F5B}"/>
    <cellStyle name="Warning Text 4" xfId="3698" xr:uid="{EDDD0E3B-CBE4-48D3-9881-50200B8C8F89}"/>
    <cellStyle name="Warning Text 4 2" xfId="3699" xr:uid="{885B6AE4-E8C3-45B6-ABB3-11F99F4EFE6A}"/>
    <cellStyle name="Warning Text 5" xfId="3700" xr:uid="{4680C64C-35B6-49CD-8BC6-4BBAEE9446EC}"/>
    <cellStyle name="Warning Text 5 2" xfId="3701" xr:uid="{7E7DEEB9-1D3A-49AE-BAE1-08CBAD2AE067}"/>
    <cellStyle name="Warning Text 6" xfId="3702" xr:uid="{9D7B3B30-F834-45A3-95D1-88D1A87B9EF2}"/>
    <cellStyle name="Warning Text 6 2" xfId="3703" xr:uid="{45E0FD4B-E512-4534-9C32-C8FFF2413662}"/>
    <cellStyle name="Warning Text 7" xfId="3704" xr:uid="{3ECC5697-C8D5-449E-BE29-4BB5D73B941A}"/>
    <cellStyle name="Warning Text 7 2" xfId="3705" xr:uid="{19348FF0-0903-4C29-A7E7-9E3293D2BE59}"/>
    <cellStyle name="Warning Text 8" xfId="3706" xr:uid="{A5E965DE-3DDD-4CCA-BB06-2871AC369A16}"/>
    <cellStyle name="Warning Text 8 2" xfId="3707" xr:uid="{1D100CDD-D3A6-4A5B-84BA-621CFC2DB595}"/>
    <cellStyle name="Warning Text 9" xfId="3708" xr:uid="{67FA4CF6-237E-4135-86BD-38A6A0954A55}"/>
    <cellStyle name="Warning Text 9 2" xfId="3709" xr:uid="{72D402C7-5308-4B8B-9421-1025B56386A8}"/>
    <cellStyle name="weekly" xfId="3710" xr:uid="{51888D81-A59F-4204-AEDD-3DF481D90DAC}"/>
    <cellStyle name="weekly 2" xfId="3711" xr:uid="{60A87114-4801-446B-BE96-DF5EADF0A64A}"/>
    <cellStyle name="Zeile 1" xfId="3712" xr:uid="{9BFCEB56-A223-4035-A712-DEA979008271}"/>
    <cellStyle name="Zeile 2" xfId="3713" xr:uid="{56F6E17F-DA54-49C0-8033-C79B29CF658D}"/>
    <cellStyle name="уomma [0]_mbrksv" xfId="3714" xr:uid="{DA599303-9275-4D24-9DA7-19047DB26ADE}"/>
    <cellStyle name="ハイパーリンク_2002.11.5MSIL出張報告書 安田" xfId="3715" xr:uid="{993104C7-380E-498E-8717-77592C704A87}"/>
    <cellStyle name="똿뗦먛귟 [0.00]_PRODUCT DETAIL Q1" xfId="3716" xr:uid="{059F8D8F-8509-4DA6-9123-379A8102D226}"/>
    <cellStyle name="똿뗦먛귟_PRODUCT DETAIL Q1" xfId="3717" xr:uid="{E4177821-0733-4EC9-9656-4936501813F7}"/>
    <cellStyle name="믅됞 [0.00]_PRODUCT DETAIL Q1" xfId="3718" xr:uid="{AA26D9DA-3FC7-4FDB-BBC4-1594A347305C}"/>
    <cellStyle name="믅됞_PRODUCT DETAIL Q1" xfId="3719" xr:uid="{25DDF073-0BC0-4085-8409-509700D8E6B6}"/>
    <cellStyle name="뷭?_BOOKSHIP" xfId="3720" xr:uid="{5C5A2238-20DD-439C-B3B8-901112FB3CF9}"/>
    <cellStyle name="지정되지 않음" xfId="3721" xr:uid="{16F6BFC1-1E35-4FD2-8929-71ED2B15DFBC}"/>
    <cellStyle name="지정되지 않음 2" xfId="3722" xr:uid="{9C518C54-20E1-4836-983C-ED7BDFF1CB79}"/>
    <cellStyle name="콤마 [0]_02_Figures" xfId="3723" xr:uid="{7E576894-ADD4-4F4B-B8C7-30279A3911A1}"/>
    <cellStyle name="콤마_02_Figures" xfId="3724" xr:uid="{82DC2022-D0D1-4953-8132-3387C764728D}"/>
    <cellStyle name="통화 [0]_CODE" xfId="3725" xr:uid="{57BE0B66-F981-4B91-8CDC-E208B5BE6C21}"/>
    <cellStyle name="통화_CODE" xfId="3726" xr:uid="{AF9FD09A-7D53-4991-9F86-08228EFF2306}"/>
    <cellStyle name="표준_02_Figures" xfId="3727" xr:uid="{D34D53D9-5406-48DE-BA7F-7776DD9F8626}"/>
    <cellStyle name="千位分隔[0]_6-New business statistics(C)" xfId="3728" xr:uid="{E8F95F38-5DD6-4EEF-AACC-086C978707B8}"/>
    <cellStyle name="千位分隔_6-New business statistics(C)" xfId="3729" xr:uid="{0F00E887-3083-489C-BBF0-C507C9FE7A74}"/>
    <cellStyle name="常规_1-Finance" xfId="3730" xr:uid="{11D7815E-DD27-46AB-934B-2D95DB83DC65}"/>
    <cellStyle name="数値" xfId="3731" xr:uid="{AF28CEA3-E9AA-4268-98AB-BAC1F1520B75}"/>
    <cellStyle name="数値 2" xfId="3732" xr:uid="{142D144F-E55C-43CF-8290-89DDE1A3744F}"/>
    <cellStyle name="数値 2 2" xfId="3733" xr:uid="{F08D66D3-4509-407C-9C4B-B7D0292F81E2}"/>
    <cellStyle name="数値 3" xfId="3734" xr:uid="{29FC940C-EF94-4233-9F8D-9EDFCCD04826}"/>
    <cellStyle name="数値_Action plan - Tank" xfId="3735" xr:uid="{2DBB19B6-04BE-4007-B59B-DF074ED24EC6}"/>
    <cellStyle name="文字列" xfId="3736" xr:uid="{0DB3AA02-54EE-4BD7-BB2B-4049A503D62C}"/>
    <cellStyle name="文字列 2" xfId="3737" xr:uid="{ECBC62C2-14C0-421F-B74F-09DA05EA3437}"/>
    <cellStyle name="文字列 2 2" xfId="3738" xr:uid="{069000C3-73BE-4486-9A98-D0B4A6383144}"/>
    <cellStyle name="文字列 3" xfId="3739" xr:uid="{46896BD7-3BA4-4A79-A2CF-BD69C29CD8FA}"/>
    <cellStyle name="文字列_Action plan - Tank" xfId="3740" xr:uid="{3328F8C8-1167-480F-B8A0-A24E0A8FB025}"/>
    <cellStyle name="文字列折り返し" xfId="3741" xr:uid="{2A5BCDBB-F3C5-4080-9DCB-38764C24E0C5}"/>
    <cellStyle name="文字列折り返し 2" xfId="3742" xr:uid="{75FD9DF8-ECD4-4F7D-A4AD-9EBCA6969EA0}"/>
    <cellStyle name="文字列折り返し 2 2" xfId="3743" xr:uid="{8118FB3F-B56A-4E1E-8117-0779871BA75B}"/>
    <cellStyle name="文字列折り返し 3" xfId="3744" xr:uid="{E59CF577-DBE2-497A-8FD2-14E1DE52A492}"/>
    <cellStyle name="文字列折り返し_Action plan - Tank" xfId="3745" xr:uid="{4C2F90CE-6182-4635-B63D-F9051F5D79A7}"/>
    <cellStyle name="日付" xfId="3746" xr:uid="{A2F23063-9A2D-4555-8116-559A931AE285}"/>
    <cellStyle name="日付 2" xfId="3747" xr:uid="{D3BB820A-D02F-46EF-8473-C22C89DE504D}"/>
    <cellStyle name="日付 2 2" xfId="3748" xr:uid="{03ED8BEB-937F-4B50-94C8-383679E782B8}"/>
    <cellStyle name="日付 3" xfId="3749" xr:uid="{2FF2D0DD-9152-4CD5-B619-06D8CBA32294}"/>
    <cellStyle name="日付_Action plan - Tank" xfId="3750" xr:uid="{327DCC8C-037D-4970-8C2A-8B928364A29A}"/>
    <cellStyle name="普通_ZHH02.XLS" xfId="3751" xr:uid="{3223E326-2359-4C99-A8B7-DE9CA30BBEF5}"/>
    <cellStyle name="月間Ｐﾏﾄ" xfId="3752" xr:uid="{0553590B-71BE-4B29-ABF7-1E787C1FFCA6}"/>
    <cellStyle name="月間Ｐﾏﾄ 2" xfId="3753" xr:uid="{20D6CD3E-AFB3-4D02-AC79-72C9467060DD}"/>
    <cellStyle name="桁区切り [0.00]_RESULTS" xfId="3754" xr:uid="{A305B943-1D34-4DD4-8CAA-B61F8CC7DCA4}"/>
    <cellStyle name="桁区切り_RESULTS" xfId="3755" xr:uid="{37CD86B2-B630-4E30-A793-7594E30632DE}"/>
    <cellStyle name="標準_03Mｱｺｰﾄﾞ製品MMVCMPC検証_萩原課長出張ﾚﾎﾟ" xfId="3756" xr:uid="{EB7E5DE0-52B8-496C-8A9C-CD7B79CCF14E}"/>
    <cellStyle name="標準106612" xfId="3757" xr:uid="{D6EE3ADC-5CB6-4BAA-A4F5-104D7C80F3CA}"/>
    <cellStyle name="標準106612 2" xfId="3758" xr:uid="{F9315FD7-8465-4052-B057-C9A413775D3A}"/>
    <cellStyle name="標準11" xfId="3759" xr:uid="{83864A68-BE44-4762-9486-4C2826D13BA5}"/>
    <cellStyle name="標準11 2" xfId="3760" xr:uid="{B5385FF7-F2C5-484F-9AA6-AE0633FE09B8}"/>
    <cellStyle name="準標準" xfId="3761" xr:uid="{FF919D90-1D5D-4BC3-B5A0-06AAA708FC64}"/>
    <cellStyle name="準標準 2" xfId="3762" xr:uid="{9D82601A-941E-4079-9C93-6B87B9C7C468}"/>
    <cellStyle name="準標準 2 2" xfId="3763" xr:uid="{DFE31935-8A83-48A2-A7E6-DE4CF984E9E0}"/>
    <cellStyle name="準標準 2 3" xfId="3764" xr:uid="{28DEF5F8-3153-4AA2-A67E-388A713C762A}"/>
    <cellStyle name="準標準 2 4" xfId="3765" xr:uid="{EFC50FE9-5D2E-4B0F-A4B6-C1DED0B84B5D}"/>
    <cellStyle name="準標準 2 5" xfId="3766" xr:uid="{5B031C68-3AB1-473E-992A-A5555CD7E5F9}"/>
    <cellStyle name="準標準 3" xfId="3767" xr:uid="{19F725A2-BA19-407A-8303-24C0FC9BCE92}"/>
    <cellStyle name="準標準 4" xfId="3768" xr:uid="{B8512BCC-5D8E-4857-9FE2-A0E3DD5D69F4}"/>
    <cellStyle name="準標準 5" xfId="3769" xr:uid="{D9D69D13-453C-444D-9477-AF5200F074BB}"/>
    <cellStyle name="準標準 6" xfId="3770" xr:uid="{4DBE0D62-D5CE-4C4C-9B79-3809F6CF2D14}"/>
    <cellStyle name="準標準 7" xfId="3771" xr:uid="{92D43BBC-D06C-4E4D-BA47-AC6378668577}"/>
    <cellStyle name="表示済みのハイパーリンク_2002.11.5MSIL出張報告書 安田" xfId="3772" xr:uid="{F9DACFFC-0EBD-469F-9B14-5CFDA5124211}"/>
    <cellStyle name="通貨 [0.00]_RESULTS" xfId="3773" xr:uid="{00384EA5-901F-4143-A34B-926193C7ED03}"/>
    <cellStyle name="通貨_RESULTS" xfId="3774" xr:uid="{44FD141B-54F6-42E1-B3EF-ADC21170D499}"/>
    <cellStyle name="链接单元格 6 2" xfId="3775" xr:uid="{8A1BC0F9-6D26-4215-A444-3275CEE81ECC}"/>
  </cellStyles>
  <dxfs count="97">
    <dxf>
      <border outline="0">
        <right style="thin">
          <color indexed="64"/>
        </right>
      </border>
    </dxf>
    <dxf>
      <fill>
        <patternFill patternType="solid">
          <fgColor indexed="64"/>
          <bgColor theme="4"/>
        </patternFill>
      </fill>
    </dxf>
    <dxf>
      <fill>
        <patternFill patternType="solid">
          <fgColor indexed="64"/>
          <bgColor rgb="FFFF0343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034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034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034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034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034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0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0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>
          <fgColor indexed="6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>
          <bgColor theme="0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0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2A5591-98BB-410A-AABE-31EDF671505D}" name="Table2" displayName="Table2" ref="A1:AI55" totalsRowShown="0" headerRowDxfId="96" dataDxfId="94" headerRowBorderDxfId="95" tableBorderDxfId="93" totalsRowBorderDxfId="92">
  <autoFilter ref="A1:AI55" xr:uid="{9D2A5591-98BB-410A-AABE-31EDF671505D}"/>
  <tableColumns count="35">
    <tableColumn id="1" xr3:uid="{A893683F-E629-4CBE-BD08-0132AC6ED259}" name="Vertical" dataDxfId="91"/>
    <tableColumn id="2" xr3:uid="{AA775820-ECFE-444A-939A-3EB6ACE3C7A7}" name="Item code " dataDxfId="90"/>
    <tableColumn id="3" xr3:uid="{89FAFD61-09EB-49D9-BF7B-E209F48250AF}" name="Description" dataDxfId="89"/>
    <tableColumn id="4" xr3:uid="{BB4A1013-5AAB-426A-9B58-E34640751CC7}" name="Model" dataDxfId="88"/>
    <tableColumn id="5" xr3:uid="{EA12B1C9-BA0F-4FAA-AE2C-4648C9EA212E}" name="Category" dataDxfId="87"/>
    <tableColumn id="6" xr3:uid="{DAC4A61A-8BAB-44BB-92F5-E40C127ED7B5}" name="Type" dataDxfId="86"/>
    <tableColumn id="7" xr3:uid="{09FA0930-8353-442D-B73B-A0D01917CC5C}" name="Monthly _x000a_Average Plan" dataDxfId="85"/>
    <tableColumn id="8" xr3:uid="{2E4E05A7-6B9E-4A55-9E77-5CFA67B2B80B}" name="Daily Max Plan" dataDxfId="84"/>
    <tableColumn id="9" xr3:uid="{5757553C-EA3D-4D2C-88F5-AEA6AABECF3A}" name="Daily Suggested Release Plan" dataDxfId="83"/>
    <tableColumn id="10" xr3:uid="{7FD0BC73-0792-4DD7-B261-B447F954174F}" name="Modified Release plan" dataDxfId="82"/>
    <tableColumn id="11" xr3:uid="{7D2B73D0-9D76-4EAC-B60D-DF4A947E28D5}" name="Max Inventory _x000a_Stock" dataDxfId="81"/>
    <tableColumn id="12" xr3:uid="{9F9333DB-9C71-4B28-AA8B-7D36929EF1A8}" name="Pending _x000a_Trigger" dataDxfId="80"/>
    <tableColumn id="13" xr3:uid="{2F0999CD-C7A3-470B-A181-2C9F053ED3EF}" name="RPL days to Delivery" dataDxfId="79"/>
    <tableColumn id="14" xr3:uid="{89227C0C-FD67-4C95-B61D-5C87B125084A}" name="Monthly Dispatch" dataDxfId="78"/>
    <tableColumn id="35" xr3:uid="{AF236A94-E735-42CB-A3E0-697DDF22670E}" name="Released" dataDxfId="77"/>
    <tableColumn id="15" xr3:uid="{069F9CBA-FEC3-40BE-8F58-F1F711B32955}" name="Long seam" dataDxfId="76"/>
    <tableColumn id="16" xr3:uid="{3113831E-F190-477E-ADA0-F703ADFF3E5C}" name="Dish fit up" dataDxfId="75"/>
    <tableColumn id="17" xr3:uid="{D5B65EB6-CAF6-4DBA-ADEB-0BDB665BCB15}" name="Cirseam welding" dataDxfId="74"/>
    <tableColumn id="18" xr3:uid="{2345C0A9-6018-4C84-9D5A-9A0A96EA7C74}" name="Part assembly" dataDxfId="73"/>
    <tableColumn id="19" xr3:uid="{2FBFAF98-46A1-4FF0-A034-2B1635E6C953}" name="Full welding" dataDxfId="72"/>
    <tableColumn id="20" xr3:uid="{B254F486-BD9F-49C2-B638-4705A8EB5B05}" name="Hydro Testing" dataDxfId="71"/>
    <tableColumn id="21" xr3:uid="{6DB5BFF0-04F0-4F72-8DAA-FBA265E89CBF}" name="Powder coating" dataDxfId="70"/>
    <tableColumn id="22" xr3:uid="{684FCB3F-FA4C-4E12-9F9C-4C30E2EA7488}" name="PDI" dataDxfId="69"/>
    <tableColumn id="23" xr3:uid="{640891BE-78A8-418F-A4E2-F459F6A0331D}" name="FG" dataDxfId="68"/>
    <tableColumn id="24" xr3:uid="{F7F478EC-7177-4722-B521-56DDA5D810C9}" name="Total Inv" dataDxfId="67">
      <calculatedColumnFormula>SUM(P2:W2)</calculatedColumnFormula>
    </tableColumn>
    <tableColumn id="25" xr3:uid="{460D1A70-F119-40D3-995C-8D1F19B69F86}" name="Long_seam_CT" dataDxfId="66"/>
    <tableColumn id="26" xr3:uid="{5EEBBC12-0DFF-4B7F-84F8-9936EAA446FE}" name="Dish_fit_up_CT" dataDxfId="65"/>
    <tableColumn id="27" xr3:uid="{399FF6F3-DD94-467C-9C0A-80B9EEF3A80D}" name="Sub_Assembly_CT" dataDxfId="64"/>
    <tableColumn id="28" xr3:uid="{499107E2-981E-4C33-8489-5114CDA18A40}" name="Cirseam_welding_CT" dataDxfId="63"/>
    <tableColumn id="29" xr3:uid="{D0C2B68F-340B-42AC-98AF-2D34F01C477C}" name="Part_assembly_CT" dataDxfId="62"/>
    <tableColumn id="30" xr3:uid="{A3AE618E-6260-4819-8EB8-E6B9C06A63DA}" name="Full_welding_CT" dataDxfId="61"/>
    <tableColumn id="31" xr3:uid="{6CCDAFA8-B241-4304-B845-2257F2695CE4}" name="Robo_Welding_CT" dataDxfId="60"/>
    <tableColumn id="32" xr3:uid="{412E3E77-5FB3-4D66-AF1F-1E851E231A0C}" name="Hydro_Testing_CT" dataDxfId="59"/>
    <tableColumn id="33" xr3:uid="{FEEE6748-B3A3-4EBD-8F8C-45AAFF75178E}" name="Powder_coating_CT" dataDxfId="58"/>
    <tableColumn id="34" xr3:uid="{1B429083-4340-4892-A70C-69AEAA58DE3E}" name="PDI_CT" dataDxfId="57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4E738D-D489-4775-8614-3F9594B6E026}" name="Table1" displayName="Table1" ref="A1:M55" totalsRowShown="0" headerRowDxfId="56" dataDxfId="54" headerRowBorderDxfId="55" tableBorderDxfId="53" totalsRowBorderDxfId="52">
  <autoFilter ref="A1:M55" xr:uid="{A84E738D-D489-4775-8614-3F9594B6E026}"/>
  <tableColumns count="13">
    <tableColumn id="1" xr3:uid="{B9F7038D-09FA-43C7-9CBB-CCF8BD027E5B}" name="Item code " dataDxfId="51"/>
    <tableColumn id="2" xr3:uid="{9AE5CC86-3350-4AB5-ADE6-655044379772}" name="Long seam" dataDxfId="50"/>
    <tableColumn id="3" xr3:uid="{B85221E0-63EF-4667-B2EC-F64568697FFC}" name="Dish fit up" dataDxfId="49"/>
    <tableColumn id="4" xr3:uid="{A02DF1F9-FD90-4B82-9066-4541F413ED19}" name="Cirseam welding" dataDxfId="48"/>
    <tableColumn id="5" xr3:uid="{4B753B51-A112-473F-AD92-94193FB0A045}" name="Part assembly" dataDxfId="47"/>
    <tableColumn id="6" xr3:uid="{8ECF7548-1A87-473A-922D-D5A4FC94F9C2}" name="Full welding" dataDxfId="46"/>
    <tableColumn id="7" xr3:uid="{96959F62-0CD2-4052-9978-8A18E4F162C3}" name="Hydro Testing" dataDxfId="45"/>
    <tableColumn id="8" xr3:uid="{C6278E83-0476-4B8D-A8E6-D19B80CF5673}" name="Powder coating" dataDxfId="44"/>
    <tableColumn id="9" xr3:uid="{A28E0E12-4419-4852-975B-F06A9DBB1F77}" name="PDI" dataDxfId="43"/>
    <tableColumn id="10" xr3:uid="{7AAB0EFB-A61A-4D57-8002-DEDDA4C20EDD}" name="FG" dataDxfId="42"/>
    <tableColumn id="11" xr3:uid="{3BA64BA7-B423-491C-BEED-CF083DC88537}" name="Total Inv" dataDxfId="41"/>
    <tableColumn id="12" xr3:uid="{8CE2163C-F821-4DA3-B818-C711417EF9FD}" name="Trigger Failure" dataDxfId="40"/>
    <tableColumn id="13" xr3:uid="{C52BC9FD-9A89-48DC-A733-E7DF2D85FEC1}" name="Dispatched" dataDxfId="39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7C265B-933A-4AE7-8B51-AB0E70299B3D}" name="Table4" displayName="Table4" ref="B1:AJ53" totalsRowShown="0" headerRowDxfId="38" tableBorderDxfId="37">
  <autoFilter ref="B1:AJ53" xr:uid="{337C265B-933A-4AE7-8B51-AB0E70299B3D}"/>
  <tableColumns count="35">
    <tableColumn id="2" xr3:uid="{6A0BBAC8-A542-4AB8-A83F-431B3BC39862}" name="E.code" dataDxfId="36"/>
    <tableColumn id="3" xr3:uid="{5761471A-27E1-4DA2-8161-B39C62DADF40}" name="Name of the Employee" dataDxfId="35"/>
    <tableColumn id="4" xr3:uid="{FB8D21DA-575B-4F11-8746-3517DC248405}" name="Column1" dataDxfId="34"/>
    <tableColumn id="5" xr3:uid="{A2EAB65F-47AB-484F-A94B-7966BDBF1D8D}" name="Company / Contract" dataDxfId="33"/>
    <tableColumn id="6" xr3:uid="{4902F819-18C2-4298-A6AD-C1FB8F6BD9FB}" name="DOJ" dataDxfId="32"/>
    <tableColumn id="7" xr3:uid="{11534B17-0445-4356-9BA8-91DC275CD251}" name="Today" dataDxfId="31">
      <calculatedColumnFormula>TODAY()</calculatedColumnFormula>
    </tableColumn>
    <tableColumn id="8" xr3:uid="{5C860620-26E5-467F-A3F3-559CB8BF12AA}" name="Tenure (Years)" dataDxfId="30">
      <calculatedColumnFormula>((G2-F2)/30)/12</calculatedColumnFormula>
    </tableColumn>
    <tableColumn id="9" xr3:uid="{402A1DDA-6F81-434C-B18F-1934E52F543D}" name="Stage" dataDxfId="29"/>
    <tableColumn id="10" xr3:uid="{FCB9A843-1300-49F0-A433-011C2917FCB4}" name="1" dataDxfId="28"/>
    <tableColumn id="11" xr3:uid="{0C214EBA-6243-4F24-A0A4-BD50E93B3CC6}" name="2" dataDxfId="27"/>
    <tableColumn id="12" xr3:uid="{0C0B81EA-8ED8-4190-A3DE-1DF23885FBDE}" name="3" dataDxfId="26"/>
    <tableColumn id="13" xr3:uid="{2DB5C5B5-02DE-487C-935B-3D160D5351F4}" name="4" dataDxfId="25"/>
    <tableColumn id="14" xr3:uid="{CB7AED2E-89D9-4533-8A6D-C3E9A1F63A8A}" name="5" dataDxfId="24"/>
    <tableColumn id="15" xr3:uid="{28CDDBC0-83C7-4FB4-BD96-9B4AF0213AB6}" name="6" dataDxfId="23"/>
    <tableColumn id="16" xr3:uid="{82BA4ABE-99B6-4F64-9587-A4D18B5B34A2}" name="7" dataDxfId="22"/>
    <tableColumn id="17" xr3:uid="{816F467C-A865-48B1-9B0C-06B3A36F0F73}" name="8" dataDxfId="21"/>
    <tableColumn id="18" xr3:uid="{199BAA80-0AAE-4D80-BC5B-C3CD93097457}" name="9" dataDxfId="20"/>
    <tableColumn id="19" xr3:uid="{C00241D5-370B-441D-9504-5F952A3D8711}" name="10" dataDxfId="19"/>
    <tableColumn id="20" xr3:uid="{A9727153-A480-4887-9918-1FA88D30552D}" name="11" dataDxfId="18"/>
    <tableColumn id="21" xr3:uid="{53FF4406-BE34-4363-BA48-EE31CFD050CD}" name="12" dataDxfId="17"/>
    <tableColumn id="22" xr3:uid="{F0711627-4AE4-4C55-B967-8643C2629A25}" name="13" dataDxfId="16"/>
    <tableColumn id="23" xr3:uid="{FDA61507-D116-49B6-8068-EB4D85D74997}" name="14" dataDxfId="15"/>
    <tableColumn id="24" xr3:uid="{5E77047D-D355-4612-B4CF-32E0269CD23A}" name="15" dataDxfId="14"/>
    <tableColumn id="25" xr3:uid="{9EE4148A-5BDF-4353-9EE3-EADB3F5E6FE9}" name="16" dataDxfId="13"/>
    <tableColumn id="26" xr3:uid="{29DE7B5A-F79F-410C-9AD4-018641098CA1}" name="17" dataDxfId="12"/>
    <tableColumn id="27" xr3:uid="{78E006AE-F11E-4E30-943F-BE894DB78129}" name="18" dataDxfId="11"/>
    <tableColumn id="28" xr3:uid="{935510B5-D94A-48E5-95D7-FDC60F61FAD0}" name="19" dataDxfId="10"/>
    <tableColumn id="29" xr3:uid="{74B3219C-DB9B-4FFD-BB89-5262D9FE3406}" name="20" dataDxfId="9"/>
    <tableColumn id="30" xr3:uid="{BA488718-5D79-499E-A6EE-B0D83531D007}" name="21" dataDxfId="8"/>
    <tableColumn id="31" xr3:uid="{1CCCE13C-20A5-40E7-8D17-B7D4FC4FBB45}" name="22" dataDxfId="7"/>
    <tableColumn id="32" xr3:uid="{C05331C5-2B45-47AB-9195-966D824B3538}" name="23" dataDxfId="6"/>
    <tableColumn id="33" xr3:uid="{5077C975-16E1-43B0-A124-D842FC92F8E5}" name="24" dataDxfId="5"/>
    <tableColumn id="34" xr3:uid="{2723ECD0-37D1-420C-9772-6A1FC6C68F87}" name="25" dataDxfId="4"/>
    <tableColumn id="35" xr3:uid="{2C64BBE5-0D76-4D64-BC80-8EBBF95367E9}" name="26" dataDxfId="3"/>
    <tableColumn id="36" xr3:uid="{7E7EB4CD-0D8B-4C58-953B-B3B9BD5BC762}" name="27" dataDxfId="2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1327777-F135-43B6-9A3F-BCC387DDF6E3}" name="Table6" displayName="Table6" ref="AK1:AN53" totalsRowShown="0" headerRowDxfId="1">
  <autoFilter ref="AK1:AN53" xr:uid="{01327777-F135-43B6-9A3F-BCC387DDF6E3}"/>
  <tableColumns count="4">
    <tableColumn id="1" xr3:uid="{EDAEE85C-4CF2-47DC-9BC5-A86C2AA2D8D5}" name="28"/>
    <tableColumn id="2" xr3:uid="{D184F711-5AC2-4BF3-ACC5-5703826A1C1C}" name="29"/>
    <tableColumn id="3" xr3:uid="{F3455541-DC0B-48AE-8F0C-BC93930BAAAA}" name="30"/>
    <tableColumn id="4" xr3:uid="{1C9CC780-3DA6-4A1A-A625-5EE8C254E57C}" name="31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E5E434D-B3DF-446F-857E-49BF82E35D4A}" name="Table7" displayName="Table7" ref="A1:A68" totalsRowShown="0" tableBorderDxfId="0">
  <autoFilter ref="A1:A68" xr:uid="{1E5E434D-B3DF-446F-857E-49BF82E35D4A}"/>
  <tableColumns count="1">
    <tableColumn id="1" xr3:uid="{3D4C1A1C-0972-435C-88D2-5EDB1746B8ED}" name="S.NO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3E5366-8568-4B21-9C6E-04523E27FF8E}" name="Table3" displayName="Table3" ref="A2:I11" totalsRowShown="0">
  <autoFilter ref="A2:I11" xr:uid="{BE3E5366-8568-4B21-9C6E-04523E27FF8E}"/>
  <tableColumns count="9">
    <tableColumn id="1" xr3:uid="{A92DD76C-3FEF-43E3-B2FE-81175F5222EF}" name="Stages"/>
    <tableColumn id="2" xr3:uid="{78C47DAA-39AF-48F4-B289-60A93BF32B66}" name="SFE"/>
    <tableColumn id="3" xr3:uid="{55988CB8-6B45-4A4D-9591-33874E5FE02D}" name="CL"/>
    <tableColumn id="4" xr3:uid="{D262864C-6F08-4565-B515-6CEE0B5DA8FB}" name="NAPS"/>
    <tableColumn id="5" xr3:uid="{F5D607D0-09C9-468C-9AB9-CB0F354DF086}" name="Daily Running Shifts"/>
    <tableColumn id="6" xr3:uid="{03E9463B-D044-45F3-BC01-EAE1DB23283D}" name="Tot Req">
      <calculatedColumnFormula>SUM(B3:D3)</calculatedColumnFormula>
    </tableColumn>
    <tableColumn id="7" xr3:uid="{1CEE4C05-D1A0-46BF-9795-005F923D2E83}" name="Avg Output "/>
    <tableColumn id="8" xr3:uid="{78DB1EBB-22BC-4A2A-869E-C5801BDD780B}" name="Predicted output"/>
    <tableColumn id="9" xr3:uid="{875F11D2-7C1A-410E-AD88-1BCBEDE21569}" name="Liv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5FE93-C2A6-41F1-8928-A510198A71BC}">
  <dimension ref="A1:AI55"/>
  <sheetViews>
    <sheetView topLeftCell="Z1" workbookViewId="0">
      <selection activeCell="R11" sqref="R11"/>
    </sheetView>
  </sheetViews>
  <sheetFormatPr defaultRowHeight="14.5"/>
  <cols>
    <col min="1" max="1" width="9.1796875" customWidth="1"/>
    <col min="2" max="2" width="13.08984375" bestFit="1" customWidth="1"/>
    <col min="3" max="3" width="12.36328125" customWidth="1"/>
    <col min="4" max="4" width="11.08984375" bestFit="1" customWidth="1"/>
    <col min="5" max="5" width="10.26953125" customWidth="1"/>
    <col min="7" max="7" width="14.54296875" customWidth="1"/>
    <col min="8" max="8" width="15.08984375" customWidth="1"/>
    <col min="9" max="9" width="28.26953125" customWidth="1"/>
    <col min="10" max="10" width="21.6328125" customWidth="1"/>
    <col min="11" max="11" width="15.54296875" customWidth="1"/>
    <col min="12" max="12" width="10.36328125" customWidth="1"/>
    <col min="13" max="13" width="20.7265625" customWidth="1"/>
    <col min="14" max="14" width="17.81640625" customWidth="1"/>
    <col min="15" max="15" width="12" customWidth="1"/>
    <col min="16" max="16" width="11.81640625" customWidth="1"/>
    <col min="17" max="17" width="16.6328125" customWidth="1"/>
    <col min="18" max="18" width="14.81640625" customWidth="1"/>
    <col min="19" max="19" width="12.6328125" customWidth="1"/>
    <col min="20" max="20" width="14.26953125" customWidth="1"/>
    <col min="21" max="21" width="15.6328125" customWidth="1"/>
    <col min="22" max="22" width="8.26953125" customWidth="1"/>
    <col min="23" max="23" width="7.7265625" customWidth="1"/>
    <col min="24" max="24" width="11.1796875" customWidth="1"/>
    <col min="25" max="25" width="15.26953125" customWidth="1"/>
    <col min="26" max="26" width="16" customWidth="1"/>
    <col min="27" max="27" width="19.90625" customWidth="1"/>
    <col min="28" max="28" width="20.7265625" customWidth="1"/>
    <col min="29" max="29" width="18.81640625" customWidth="1"/>
    <col min="30" max="30" width="17.90625" customWidth="1"/>
    <col min="31" max="31" width="19.08984375" customWidth="1"/>
    <col min="32" max="32" width="17.90625" customWidth="1"/>
    <col min="33" max="33" width="19.453125" customWidth="1"/>
    <col min="34" max="34" width="8.90625" customWidth="1"/>
  </cols>
  <sheetData>
    <row r="1" spans="1:35" ht="29">
      <c r="A1" s="28" t="s">
        <v>0</v>
      </c>
      <c r="B1" s="28" t="s">
        <v>1</v>
      </c>
      <c r="C1" s="28" t="s">
        <v>2</v>
      </c>
      <c r="D1" s="41" t="s">
        <v>3</v>
      </c>
      <c r="E1" s="42" t="s">
        <v>4</v>
      </c>
      <c r="F1" s="42" t="s">
        <v>5</v>
      </c>
      <c r="G1" s="43" t="s">
        <v>6</v>
      </c>
      <c r="H1" s="43" t="s">
        <v>146</v>
      </c>
      <c r="I1" s="44" t="s">
        <v>143</v>
      </c>
      <c r="J1" s="44" t="s">
        <v>132</v>
      </c>
      <c r="K1" s="44" t="s">
        <v>119</v>
      </c>
      <c r="L1" s="44" t="s">
        <v>120</v>
      </c>
      <c r="M1" s="44" t="s">
        <v>121</v>
      </c>
      <c r="N1" s="44" t="s">
        <v>147</v>
      </c>
      <c r="O1" s="44" t="s">
        <v>232</v>
      </c>
      <c r="P1" s="29" t="s">
        <v>122</v>
      </c>
      <c r="Q1" s="29" t="s">
        <v>123</v>
      </c>
      <c r="R1" s="29" t="s">
        <v>124</v>
      </c>
      <c r="S1" s="29" t="s">
        <v>125</v>
      </c>
      <c r="T1" s="29" t="s">
        <v>126</v>
      </c>
      <c r="U1" s="29" t="s">
        <v>127</v>
      </c>
      <c r="V1" s="29" t="s">
        <v>128</v>
      </c>
      <c r="W1" s="29" t="s">
        <v>129</v>
      </c>
      <c r="X1" s="29" t="s">
        <v>130</v>
      </c>
      <c r="Y1" s="29" t="s">
        <v>131</v>
      </c>
      <c r="Z1" s="29" t="s">
        <v>133</v>
      </c>
      <c r="AA1" s="29" t="s">
        <v>134</v>
      </c>
      <c r="AB1" s="29" t="s">
        <v>142</v>
      </c>
      <c r="AC1" s="29" t="s">
        <v>135</v>
      </c>
      <c r="AD1" s="29" t="s">
        <v>136</v>
      </c>
      <c r="AE1" s="29" t="s">
        <v>137</v>
      </c>
      <c r="AF1" s="29" t="s">
        <v>141</v>
      </c>
      <c r="AG1" s="29" t="s">
        <v>138</v>
      </c>
      <c r="AH1" s="29" t="s">
        <v>139</v>
      </c>
      <c r="AI1" s="30" t="s">
        <v>140</v>
      </c>
    </row>
    <row r="2" spans="1:35">
      <c r="A2" s="39" t="s">
        <v>7</v>
      </c>
      <c r="B2" s="2" t="s">
        <v>8</v>
      </c>
      <c r="C2" s="3" t="s">
        <v>9</v>
      </c>
      <c r="D2" s="4" t="s">
        <v>10</v>
      </c>
      <c r="E2" s="1" t="s">
        <v>11</v>
      </c>
      <c r="F2" s="1" t="s">
        <v>12</v>
      </c>
      <c r="G2" s="5">
        <v>6</v>
      </c>
      <c r="H2" s="11">
        <v>16</v>
      </c>
      <c r="I2" s="21"/>
      <c r="J2" s="21"/>
      <c r="K2" s="5">
        <v>2</v>
      </c>
      <c r="L2" s="5"/>
      <c r="M2" s="5">
        <v>3</v>
      </c>
      <c r="N2" s="5"/>
      <c r="O2" s="5"/>
      <c r="P2" s="24"/>
      <c r="Q2" s="24"/>
      <c r="R2" s="24"/>
      <c r="S2" s="24">
        <v>1</v>
      </c>
      <c r="T2" s="24"/>
      <c r="U2" s="24">
        <v>1</v>
      </c>
      <c r="V2" s="24">
        <v>1</v>
      </c>
      <c r="W2" s="24">
        <v>1</v>
      </c>
      <c r="X2" s="5"/>
      <c r="Y2" s="26">
        <f>SUM(P2:W2)</f>
        <v>4</v>
      </c>
      <c r="Z2" s="27">
        <v>8</v>
      </c>
      <c r="AA2" s="27">
        <v>24.4375</v>
      </c>
      <c r="AB2" s="27">
        <v>10.7525</v>
      </c>
      <c r="AC2" s="27">
        <v>11.5</v>
      </c>
      <c r="AD2" s="27">
        <v>0</v>
      </c>
      <c r="AE2" s="27">
        <v>26.45</v>
      </c>
      <c r="AF2" s="27">
        <v>24</v>
      </c>
      <c r="AG2" s="27">
        <v>9.1999999999999993</v>
      </c>
      <c r="AH2" s="27">
        <v>24.15</v>
      </c>
      <c r="AI2" s="40">
        <v>26.45</v>
      </c>
    </row>
    <row r="3" spans="1:35">
      <c r="A3" s="39" t="s">
        <v>7</v>
      </c>
      <c r="B3" s="2" t="s">
        <v>13</v>
      </c>
      <c r="C3" s="3" t="s">
        <v>9</v>
      </c>
      <c r="D3" s="4" t="s">
        <v>14</v>
      </c>
      <c r="E3" s="1" t="s">
        <v>11</v>
      </c>
      <c r="F3" s="1" t="s">
        <v>12</v>
      </c>
      <c r="G3" s="5">
        <v>4</v>
      </c>
      <c r="H3" s="15">
        <v>10</v>
      </c>
      <c r="I3" s="21"/>
      <c r="J3" s="21"/>
      <c r="K3" s="5">
        <v>2</v>
      </c>
      <c r="L3" s="5"/>
      <c r="M3" s="5">
        <v>3</v>
      </c>
      <c r="N3" s="5"/>
      <c r="O3" s="5"/>
      <c r="P3" s="5"/>
      <c r="Q3" s="5"/>
      <c r="R3" s="5"/>
      <c r="S3" s="5">
        <v>1</v>
      </c>
      <c r="T3" s="5"/>
      <c r="U3" s="5"/>
      <c r="V3" s="5">
        <v>1</v>
      </c>
      <c r="W3" s="5">
        <v>2</v>
      </c>
      <c r="X3" s="5"/>
      <c r="Y3" s="26">
        <f t="shared" ref="Y3:Y55" si="0">SUM(P3:W3)</f>
        <v>4</v>
      </c>
      <c r="Z3" s="27">
        <v>8.0500000000000007</v>
      </c>
      <c r="AA3" s="27">
        <v>59.8</v>
      </c>
      <c r="AB3" s="27">
        <v>22.482500000000002</v>
      </c>
      <c r="AC3" s="27">
        <v>14.076000000000001</v>
      </c>
      <c r="AD3" s="27">
        <v>0</v>
      </c>
      <c r="AE3" s="27">
        <v>49.45</v>
      </c>
      <c r="AF3" s="27">
        <v>32</v>
      </c>
      <c r="AG3" s="27">
        <v>9.1999999999999993</v>
      </c>
      <c r="AH3" s="27">
        <v>24.95</v>
      </c>
      <c r="AI3" s="40">
        <v>31.2</v>
      </c>
    </row>
    <row r="4" spans="1:35">
      <c r="A4" s="39" t="s">
        <v>7</v>
      </c>
      <c r="B4" s="2" t="s">
        <v>15</v>
      </c>
      <c r="C4" s="3" t="s">
        <v>9</v>
      </c>
      <c r="D4" s="4" t="s">
        <v>16</v>
      </c>
      <c r="E4" s="1" t="s">
        <v>11</v>
      </c>
      <c r="F4" s="1" t="s">
        <v>12</v>
      </c>
      <c r="G4" s="5">
        <v>4</v>
      </c>
      <c r="H4" s="5">
        <v>4</v>
      </c>
      <c r="I4" s="21"/>
      <c r="J4" s="21"/>
      <c r="K4" s="5">
        <v>2</v>
      </c>
      <c r="L4" s="5"/>
      <c r="M4" s="5">
        <v>4</v>
      </c>
      <c r="N4" s="5"/>
      <c r="O4" s="5"/>
      <c r="P4" s="24"/>
      <c r="Q4" s="24"/>
      <c r="R4" s="24"/>
      <c r="S4" s="24">
        <v>1</v>
      </c>
      <c r="T4" s="24"/>
      <c r="U4" s="24"/>
      <c r="V4" s="24"/>
      <c r="W4" s="24">
        <v>1</v>
      </c>
      <c r="X4" s="5"/>
      <c r="Y4" s="26">
        <f t="shared" si="0"/>
        <v>2</v>
      </c>
      <c r="Z4" s="27">
        <v>10.35</v>
      </c>
      <c r="AA4" s="27">
        <v>19.55</v>
      </c>
      <c r="AB4" s="27">
        <v>24.4375</v>
      </c>
      <c r="AC4" s="27">
        <v>20.056000000000001</v>
      </c>
      <c r="AD4" s="27">
        <v>53.762500000000003</v>
      </c>
      <c r="AE4" s="27">
        <v>102.35</v>
      </c>
      <c r="AF4" s="27">
        <v>32.299999999999997</v>
      </c>
      <c r="AG4" s="27">
        <v>9.1999999999999993</v>
      </c>
      <c r="AH4" s="27">
        <v>33.35</v>
      </c>
      <c r="AI4" s="40">
        <v>78</v>
      </c>
    </row>
    <row r="5" spans="1:35">
      <c r="A5" s="39" t="s">
        <v>7</v>
      </c>
      <c r="B5" s="2" t="s">
        <v>17</v>
      </c>
      <c r="C5" s="3" t="s">
        <v>9</v>
      </c>
      <c r="D5" s="4" t="s">
        <v>18</v>
      </c>
      <c r="E5" s="1" t="s">
        <v>11</v>
      </c>
      <c r="F5" s="1" t="s">
        <v>12</v>
      </c>
      <c r="G5" s="5">
        <v>4</v>
      </c>
      <c r="H5" s="5">
        <v>3</v>
      </c>
      <c r="I5" s="21"/>
      <c r="J5" s="21"/>
      <c r="K5" s="5">
        <v>2</v>
      </c>
      <c r="L5" s="5"/>
      <c r="M5" s="5">
        <v>4</v>
      </c>
      <c r="N5" s="5"/>
      <c r="O5" s="5"/>
      <c r="P5" s="5"/>
      <c r="Q5" s="5"/>
      <c r="R5" s="5"/>
      <c r="S5" s="5">
        <v>1</v>
      </c>
      <c r="T5" s="5"/>
      <c r="U5" s="5"/>
      <c r="V5" s="5"/>
      <c r="W5" s="5">
        <v>2</v>
      </c>
      <c r="X5" s="5"/>
      <c r="Y5" s="26">
        <f t="shared" si="0"/>
        <v>3</v>
      </c>
      <c r="Z5" s="27">
        <v>8.0500000000000007</v>
      </c>
      <c r="AA5" s="27">
        <v>58.65</v>
      </c>
      <c r="AB5" s="27">
        <v>22.482500000000002</v>
      </c>
      <c r="AC5" s="27">
        <v>5.75</v>
      </c>
      <c r="AD5" s="27">
        <v>34.212499999999999</v>
      </c>
      <c r="AE5" s="27">
        <v>110.4</v>
      </c>
      <c r="AF5" s="27">
        <v>0</v>
      </c>
      <c r="AG5" s="27">
        <v>20.7</v>
      </c>
      <c r="AH5" s="27">
        <v>24.95</v>
      </c>
      <c r="AI5" s="40">
        <v>50.4</v>
      </c>
    </row>
    <row r="6" spans="1:35">
      <c r="A6" s="39" t="s">
        <v>7</v>
      </c>
      <c r="B6" s="6" t="s">
        <v>19</v>
      </c>
      <c r="C6" s="3" t="s">
        <v>9</v>
      </c>
      <c r="D6" s="7" t="s">
        <v>20</v>
      </c>
      <c r="E6" s="1" t="s">
        <v>11</v>
      </c>
      <c r="F6" s="1" t="s">
        <v>12</v>
      </c>
      <c r="G6" s="1">
        <v>6</v>
      </c>
      <c r="H6" s="5">
        <v>1</v>
      </c>
      <c r="I6" s="21"/>
      <c r="J6" s="21"/>
      <c r="K6" s="1">
        <v>2</v>
      </c>
      <c r="L6" s="1"/>
      <c r="M6" s="1">
        <v>2</v>
      </c>
      <c r="N6" s="1"/>
      <c r="O6" s="1"/>
      <c r="P6" s="24"/>
      <c r="Q6" s="24"/>
      <c r="R6" s="24"/>
      <c r="S6" s="24"/>
      <c r="T6" s="24"/>
      <c r="U6" s="24">
        <v>3</v>
      </c>
      <c r="V6" s="24"/>
      <c r="W6" s="24">
        <v>1</v>
      </c>
      <c r="X6" s="24"/>
      <c r="Y6" s="26">
        <f t="shared" si="0"/>
        <v>4</v>
      </c>
      <c r="Z6" s="27">
        <v>8</v>
      </c>
      <c r="AA6" s="27">
        <v>29.324999999999999</v>
      </c>
      <c r="AB6" s="27">
        <v>10.7525</v>
      </c>
      <c r="AC6" s="27">
        <v>11.5</v>
      </c>
      <c r="AD6" s="27">
        <v>19.55</v>
      </c>
      <c r="AE6" s="27">
        <v>110.4</v>
      </c>
      <c r="AF6" s="27">
        <v>0</v>
      </c>
      <c r="AG6" s="27">
        <v>20.7</v>
      </c>
      <c r="AH6" s="27">
        <v>24.95</v>
      </c>
      <c r="AI6" s="40">
        <v>50.4</v>
      </c>
    </row>
    <row r="7" spans="1:35">
      <c r="A7" s="39" t="s">
        <v>7</v>
      </c>
      <c r="B7" s="6" t="s">
        <v>21</v>
      </c>
      <c r="C7" s="3" t="s">
        <v>9</v>
      </c>
      <c r="D7" s="7" t="s">
        <v>22</v>
      </c>
      <c r="E7" s="1" t="s">
        <v>11</v>
      </c>
      <c r="F7" s="1" t="s">
        <v>23</v>
      </c>
      <c r="G7" s="1">
        <v>2</v>
      </c>
      <c r="H7" s="5">
        <v>1</v>
      </c>
      <c r="I7" s="21"/>
      <c r="J7" s="21"/>
      <c r="K7" s="1"/>
      <c r="L7" s="1"/>
      <c r="M7" s="1"/>
      <c r="N7" s="1"/>
      <c r="O7" s="1"/>
      <c r="P7" s="5"/>
      <c r="Q7" s="5"/>
      <c r="R7" s="5"/>
      <c r="S7" s="5"/>
      <c r="T7" s="5"/>
      <c r="U7" s="5"/>
      <c r="V7" s="5"/>
      <c r="W7" s="5"/>
      <c r="X7" s="5"/>
      <c r="Y7" s="26">
        <f t="shared" si="0"/>
        <v>0</v>
      </c>
      <c r="Z7" s="27">
        <v>8.0500000000000007</v>
      </c>
      <c r="AA7" s="27">
        <v>58.65</v>
      </c>
      <c r="AB7" s="27">
        <v>22.482500000000002</v>
      </c>
      <c r="AC7" s="27">
        <v>5.75</v>
      </c>
      <c r="AD7" s="27">
        <v>34.5</v>
      </c>
      <c r="AE7" s="27">
        <v>74.75</v>
      </c>
      <c r="AF7" s="27">
        <v>0</v>
      </c>
      <c r="AG7" s="27">
        <v>20.7</v>
      </c>
      <c r="AH7" s="27">
        <v>24.95</v>
      </c>
      <c r="AI7" s="40">
        <v>78</v>
      </c>
    </row>
    <row r="8" spans="1:35">
      <c r="A8" s="39" t="s">
        <v>24</v>
      </c>
      <c r="B8" s="8" t="s">
        <v>25</v>
      </c>
      <c r="C8" s="9" t="s">
        <v>26</v>
      </c>
      <c r="D8" s="7" t="s">
        <v>27</v>
      </c>
      <c r="E8" s="1" t="s">
        <v>28</v>
      </c>
      <c r="F8" s="1" t="s">
        <v>23</v>
      </c>
      <c r="G8" s="1">
        <v>30</v>
      </c>
      <c r="H8" s="5">
        <v>1</v>
      </c>
      <c r="I8" s="21"/>
      <c r="J8" s="21"/>
      <c r="K8" s="1">
        <v>20</v>
      </c>
      <c r="L8" s="1">
        <v>7</v>
      </c>
      <c r="M8" s="1"/>
      <c r="N8" s="1"/>
      <c r="O8" s="1"/>
      <c r="P8" s="24"/>
      <c r="Q8" s="24"/>
      <c r="R8" s="24"/>
      <c r="S8" s="24"/>
      <c r="T8" s="24"/>
      <c r="U8" s="24">
        <v>4</v>
      </c>
      <c r="V8" s="24">
        <v>1</v>
      </c>
      <c r="W8" s="24">
        <v>11</v>
      </c>
      <c r="X8" s="24">
        <v>8</v>
      </c>
      <c r="Y8" s="26">
        <f t="shared" si="0"/>
        <v>16</v>
      </c>
      <c r="Z8" s="27">
        <v>8.0500000000000007</v>
      </c>
      <c r="AA8" s="27">
        <v>19.55</v>
      </c>
      <c r="AB8" s="27">
        <v>33.234999999999999</v>
      </c>
      <c r="AC8" s="27">
        <v>20.47</v>
      </c>
      <c r="AD8" s="27">
        <v>68.424999999999997</v>
      </c>
      <c r="AE8" s="27">
        <v>210.45</v>
      </c>
      <c r="AF8" s="27">
        <v>0</v>
      </c>
      <c r="AG8" s="27">
        <v>31.625</v>
      </c>
      <c r="AH8" s="27">
        <v>37.550000000000004</v>
      </c>
      <c r="AI8" s="40">
        <v>33.6</v>
      </c>
    </row>
    <row r="9" spans="1:35">
      <c r="A9" s="39" t="s">
        <v>24</v>
      </c>
      <c r="B9" s="8" t="s">
        <v>29</v>
      </c>
      <c r="C9" s="9" t="s">
        <v>26</v>
      </c>
      <c r="D9" s="7" t="s">
        <v>30</v>
      </c>
      <c r="E9" s="1" t="s">
        <v>28</v>
      </c>
      <c r="F9" s="1" t="s">
        <v>23</v>
      </c>
      <c r="G9" s="1">
        <v>30</v>
      </c>
      <c r="H9" s="5">
        <v>2</v>
      </c>
      <c r="I9" s="21"/>
      <c r="J9" s="21"/>
      <c r="K9" s="1">
        <v>20</v>
      </c>
      <c r="L9" s="1">
        <v>26</v>
      </c>
      <c r="M9" s="1"/>
      <c r="N9" s="1"/>
      <c r="O9" s="1"/>
      <c r="P9" s="5">
        <v>3</v>
      </c>
      <c r="Q9" s="5"/>
      <c r="R9" s="5"/>
      <c r="S9" s="5">
        <v>2</v>
      </c>
      <c r="T9" s="5">
        <v>1</v>
      </c>
      <c r="U9" s="5"/>
      <c r="V9" s="5"/>
      <c r="W9" s="5">
        <v>6</v>
      </c>
      <c r="X9" s="5">
        <v>10</v>
      </c>
      <c r="Y9" s="26">
        <f t="shared" si="0"/>
        <v>12</v>
      </c>
      <c r="Z9" s="27">
        <v>8</v>
      </c>
      <c r="AA9" s="27">
        <v>33.35</v>
      </c>
      <c r="AB9" s="27">
        <v>10.7525</v>
      </c>
      <c r="AC9" s="27">
        <v>11.5</v>
      </c>
      <c r="AD9" s="27">
        <v>19.55</v>
      </c>
      <c r="AE9" s="27">
        <v>74.75</v>
      </c>
      <c r="AF9" s="27">
        <v>0</v>
      </c>
      <c r="AG9" s="27">
        <v>20.7</v>
      </c>
      <c r="AH9" s="27">
        <v>24.95</v>
      </c>
      <c r="AI9" s="40">
        <v>30</v>
      </c>
    </row>
    <row r="10" spans="1:35">
      <c r="A10" s="39" t="s">
        <v>24</v>
      </c>
      <c r="B10" s="8" t="s">
        <v>31</v>
      </c>
      <c r="C10" s="9" t="s">
        <v>26</v>
      </c>
      <c r="D10" s="7" t="s">
        <v>32</v>
      </c>
      <c r="E10" s="1" t="s">
        <v>28</v>
      </c>
      <c r="F10" s="1" t="s">
        <v>23</v>
      </c>
      <c r="G10" s="1">
        <v>30</v>
      </c>
      <c r="H10" s="5">
        <v>3</v>
      </c>
      <c r="I10" s="21"/>
      <c r="J10" s="21"/>
      <c r="K10" s="1">
        <v>20</v>
      </c>
      <c r="L10" s="1">
        <v>11</v>
      </c>
      <c r="M10" s="1"/>
      <c r="N10" s="1"/>
      <c r="O10" s="1"/>
      <c r="P10" s="24"/>
      <c r="Q10" s="24"/>
      <c r="R10" s="24"/>
      <c r="S10" s="24"/>
      <c r="T10" s="24"/>
      <c r="U10" s="24"/>
      <c r="V10" s="24">
        <v>9</v>
      </c>
      <c r="W10" s="24">
        <v>11</v>
      </c>
      <c r="X10" s="24">
        <v>5</v>
      </c>
      <c r="Y10" s="26">
        <f t="shared" si="0"/>
        <v>20</v>
      </c>
      <c r="Z10" s="27">
        <v>8.0500000000000007</v>
      </c>
      <c r="AA10" s="27">
        <v>19.55</v>
      </c>
      <c r="AB10" s="27">
        <v>33.234999999999999</v>
      </c>
      <c r="AC10" s="27">
        <v>20.47</v>
      </c>
      <c r="AD10" s="27">
        <v>68.424999999999997</v>
      </c>
      <c r="AE10" s="27">
        <v>210.45</v>
      </c>
      <c r="AF10" s="27">
        <v>35</v>
      </c>
      <c r="AG10" s="27">
        <v>31.625</v>
      </c>
      <c r="AH10" s="27">
        <v>37.550000000000004</v>
      </c>
      <c r="AI10" s="40">
        <v>33.6</v>
      </c>
    </row>
    <row r="11" spans="1:35">
      <c r="A11" s="39" t="s">
        <v>33</v>
      </c>
      <c r="B11" s="3" t="s">
        <v>34</v>
      </c>
      <c r="C11" s="3" t="s">
        <v>9</v>
      </c>
      <c r="D11" s="10" t="s">
        <v>35</v>
      </c>
      <c r="E11" s="11" t="s">
        <v>36</v>
      </c>
      <c r="F11" s="11" t="s">
        <v>12</v>
      </c>
      <c r="G11" s="11">
        <v>280</v>
      </c>
      <c r="H11" s="11">
        <v>1</v>
      </c>
      <c r="I11" s="22"/>
      <c r="J11" s="22"/>
      <c r="K11" s="11">
        <v>85</v>
      </c>
      <c r="L11" s="11">
        <v>4</v>
      </c>
      <c r="M11" s="11">
        <v>1</v>
      </c>
      <c r="N11" s="11"/>
      <c r="O11" s="11"/>
      <c r="P11" s="5">
        <v>11</v>
      </c>
      <c r="Q11" s="5">
        <v>21</v>
      </c>
      <c r="R11" s="5">
        <v>0</v>
      </c>
      <c r="S11" s="5">
        <v>0</v>
      </c>
      <c r="T11" s="5">
        <v>0</v>
      </c>
      <c r="U11" s="5">
        <v>23</v>
      </c>
      <c r="V11" s="5">
        <v>6</v>
      </c>
      <c r="W11" s="5">
        <v>15</v>
      </c>
      <c r="X11" s="11">
        <v>8</v>
      </c>
      <c r="Y11" s="26">
        <f t="shared" si="0"/>
        <v>76</v>
      </c>
      <c r="Z11" s="27">
        <v>10.35</v>
      </c>
      <c r="AA11" s="27">
        <v>63.537500000000001</v>
      </c>
      <c r="AB11" s="27">
        <v>25.414999999999999</v>
      </c>
      <c r="AC11" s="27">
        <v>20.056000000000001</v>
      </c>
      <c r="AD11" s="27">
        <v>57.5</v>
      </c>
      <c r="AE11" s="27">
        <v>101.2</v>
      </c>
      <c r="AF11" s="27">
        <v>0</v>
      </c>
      <c r="AG11" s="27">
        <v>9.1999999999999993</v>
      </c>
      <c r="AH11" s="27">
        <v>33.35</v>
      </c>
      <c r="AI11" s="40">
        <v>50.4</v>
      </c>
    </row>
    <row r="12" spans="1:35">
      <c r="A12" s="39" t="s">
        <v>33</v>
      </c>
      <c r="B12" s="6" t="s">
        <v>37</v>
      </c>
      <c r="C12" s="3" t="s">
        <v>9</v>
      </c>
      <c r="D12" s="7" t="s">
        <v>38</v>
      </c>
      <c r="E12" s="1" t="s">
        <v>28</v>
      </c>
      <c r="F12" s="1" t="s">
        <v>12</v>
      </c>
      <c r="G12" s="1">
        <v>30</v>
      </c>
      <c r="H12" s="11">
        <v>1</v>
      </c>
      <c r="I12" s="21"/>
      <c r="J12" s="21"/>
      <c r="K12" s="1">
        <v>15</v>
      </c>
      <c r="L12" s="1">
        <v>1</v>
      </c>
      <c r="M12" s="1">
        <v>2</v>
      </c>
      <c r="N12" s="1"/>
      <c r="O12" s="1"/>
      <c r="P12" s="24"/>
      <c r="Q12" s="24"/>
      <c r="R12" s="24"/>
      <c r="S12" s="24">
        <v>1</v>
      </c>
      <c r="T12" s="24"/>
      <c r="U12" s="24">
        <v>3</v>
      </c>
      <c r="V12" s="24"/>
      <c r="W12" s="24">
        <v>3</v>
      </c>
      <c r="X12" s="24">
        <v>1</v>
      </c>
      <c r="Y12" s="26">
        <f t="shared" si="0"/>
        <v>7</v>
      </c>
      <c r="Z12" s="27">
        <v>10.35</v>
      </c>
      <c r="AA12" s="27">
        <v>19.55</v>
      </c>
      <c r="AB12" s="27">
        <v>24.4375</v>
      </c>
      <c r="AC12" s="27">
        <v>20.056000000000001</v>
      </c>
      <c r="AD12" s="27">
        <v>53.762500000000003</v>
      </c>
      <c r="AE12" s="27">
        <v>102.35</v>
      </c>
      <c r="AF12" s="27">
        <v>32.299999999999997</v>
      </c>
      <c r="AG12" s="27">
        <v>9.1999999999999993</v>
      </c>
      <c r="AH12" s="27">
        <v>33.35</v>
      </c>
      <c r="AI12" s="40">
        <v>78</v>
      </c>
    </row>
    <row r="13" spans="1:35">
      <c r="A13" s="39" t="s">
        <v>7</v>
      </c>
      <c r="B13" s="6" t="s">
        <v>39</v>
      </c>
      <c r="C13" s="3" t="s">
        <v>9</v>
      </c>
      <c r="D13" s="12" t="s">
        <v>40</v>
      </c>
      <c r="E13" s="1" t="s">
        <v>11</v>
      </c>
      <c r="F13" s="1" t="s">
        <v>23</v>
      </c>
      <c r="G13" s="13">
        <v>2</v>
      </c>
      <c r="H13" s="5">
        <v>1</v>
      </c>
      <c r="I13" s="23"/>
      <c r="J13" s="23"/>
      <c r="K13" s="13"/>
      <c r="L13" s="13"/>
      <c r="M13" s="13"/>
      <c r="N13" s="13"/>
      <c r="O13" s="13"/>
      <c r="P13" s="5"/>
      <c r="Q13" s="5"/>
      <c r="R13" s="5"/>
      <c r="S13" s="5"/>
      <c r="T13" s="5"/>
      <c r="U13" s="5"/>
      <c r="V13" s="5"/>
      <c r="W13" s="5">
        <v>1</v>
      </c>
      <c r="X13" s="15"/>
      <c r="Y13" s="26">
        <f t="shared" si="0"/>
        <v>1</v>
      </c>
      <c r="Z13" s="27">
        <v>9.1999999999999993</v>
      </c>
      <c r="AA13" s="27">
        <v>34.212499999999999</v>
      </c>
      <c r="AB13" s="27">
        <v>39.1</v>
      </c>
      <c r="AC13" s="27">
        <v>21.85</v>
      </c>
      <c r="AD13" s="27">
        <v>40.077500000000001</v>
      </c>
      <c r="AE13" s="27">
        <v>120.75</v>
      </c>
      <c r="AF13" s="27">
        <v>0</v>
      </c>
      <c r="AG13" s="27">
        <v>9.1999999999999993</v>
      </c>
      <c r="AH13" s="27">
        <v>32.15</v>
      </c>
      <c r="AI13" s="40">
        <v>78</v>
      </c>
    </row>
    <row r="14" spans="1:35">
      <c r="A14" s="39" t="s">
        <v>33</v>
      </c>
      <c r="B14" s="2" t="s">
        <v>41</v>
      </c>
      <c r="C14" s="3" t="s">
        <v>9</v>
      </c>
      <c r="D14" s="14" t="s">
        <v>42</v>
      </c>
      <c r="E14" s="15" t="s">
        <v>36</v>
      </c>
      <c r="F14" s="15" t="s">
        <v>12</v>
      </c>
      <c r="G14" s="15">
        <v>180</v>
      </c>
      <c r="H14" s="5">
        <v>1</v>
      </c>
      <c r="I14" s="23"/>
      <c r="J14" s="23"/>
      <c r="K14" s="15">
        <v>60</v>
      </c>
      <c r="L14" s="15">
        <v>5</v>
      </c>
      <c r="M14" s="15">
        <v>1</v>
      </c>
      <c r="N14" s="15"/>
      <c r="O14" s="15"/>
      <c r="P14" s="24">
        <v>7</v>
      </c>
      <c r="Q14" s="24">
        <v>10</v>
      </c>
      <c r="R14" s="24">
        <v>0</v>
      </c>
      <c r="S14" s="24">
        <v>0</v>
      </c>
      <c r="T14" s="24">
        <v>8</v>
      </c>
      <c r="U14" s="24">
        <v>0</v>
      </c>
      <c r="V14" s="24">
        <v>7</v>
      </c>
      <c r="W14" s="24">
        <v>12</v>
      </c>
      <c r="X14" s="15">
        <v>4</v>
      </c>
      <c r="Y14" s="26">
        <f t="shared" si="0"/>
        <v>44</v>
      </c>
      <c r="Z14" s="27">
        <v>11.5</v>
      </c>
      <c r="AA14" s="27">
        <v>58.65</v>
      </c>
      <c r="AB14" s="27">
        <v>166.17500000000001</v>
      </c>
      <c r="AC14" s="27">
        <v>18.308</v>
      </c>
      <c r="AD14" s="27">
        <v>87.974999999999994</v>
      </c>
      <c r="AE14" s="27">
        <v>274.85000000000002</v>
      </c>
      <c r="AF14" s="27">
        <v>0</v>
      </c>
      <c r="AG14" s="27">
        <v>41.975000000000001</v>
      </c>
      <c r="AH14" s="27">
        <v>39.35</v>
      </c>
      <c r="AI14" s="40">
        <v>50.4</v>
      </c>
    </row>
    <row r="15" spans="1:35">
      <c r="A15" s="39" t="s">
        <v>33</v>
      </c>
      <c r="B15" s="2" t="s">
        <v>43</v>
      </c>
      <c r="C15" s="3" t="s">
        <v>9</v>
      </c>
      <c r="D15" s="4" t="s">
        <v>44</v>
      </c>
      <c r="E15" s="5" t="s">
        <v>36</v>
      </c>
      <c r="F15" s="5" t="s">
        <v>12</v>
      </c>
      <c r="G15" s="5">
        <v>50</v>
      </c>
      <c r="H15" s="5">
        <v>1</v>
      </c>
      <c r="I15" s="21"/>
      <c r="J15" s="21"/>
      <c r="K15" s="5">
        <v>15</v>
      </c>
      <c r="L15" s="5">
        <v>2</v>
      </c>
      <c r="M15" s="5">
        <v>2</v>
      </c>
      <c r="N15" s="5"/>
      <c r="O15" s="5"/>
      <c r="P15" s="5"/>
      <c r="Q15" s="5"/>
      <c r="R15" s="5"/>
      <c r="S15" s="5">
        <v>1</v>
      </c>
      <c r="T15" s="5"/>
      <c r="U15" s="5"/>
      <c r="V15" s="5"/>
      <c r="W15" s="5">
        <v>12</v>
      </c>
      <c r="X15" s="5">
        <v>2</v>
      </c>
      <c r="Y15" s="26">
        <f t="shared" si="0"/>
        <v>13</v>
      </c>
      <c r="Z15" s="27">
        <v>12.65</v>
      </c>
      <c r="AA15" s="27">
        <v>78.2</v>
      </c>
      <c r="AB15" s="27">
        <v>166.17500000000001</v>
      </c>
      <c r="AC15" s="27">
        <v>20.700000000000003</v>
      </c>
      <c r="AD15" s="27">
        <v>87.974999999999994</v>
      </c>
      <c r="AE15" s="27">
        <v>274.85000000000002</v>
      </c>
      <c r="AF15" s="27">
        <v>0</v>
      </c>
      <c r="AG15" s="27">
        <v>33.35</v>
      </c>
      <c r="AH15" s="27">
        <v>37.550000000000004</v>
      </c>
      <c r="AI15" s="40">
        <v>31.2</v>
      </c>
    </row>
    <row r="16" spans="1:35">
      <c r="A16" s="39" t="s">
        <v>33</v>
      </c>
      <c r="B16" s="3" t="s">
        <v>45</v>
      </c>
      <c r="C16" s="3" t="s">
        <v>9</v>
      </c>
      <c r="D16" s="4" t="s">
        <v>46</v>
      </c>
      <c r="E16" s="5" t="s">
        <v>28</v>
      </c>
      <c r="F16" s="5" t="s">
        <v>12</v>
      </c>
      <c r="G16" s="5">
        <v>20</v>
      </c>
      <c r="H16" s="5">
        <v>1</v>
      </c>
      <c r="I16" s="21"/>
      <c r="J16" s="21"/>
      <c r="K16" s="5">
        <v>15</v>
      </c>
      <c r="L16" s="5">
        <v>2</v>
      </c>
      <c r="M16" s="5">
        <v>2</v>
      </c>
      <c r="N16" s="5"/>
      <c r="O16" s="5"/>
      <c r="P16" s="24"/>
      <c r="Q16" s="24"/>
      <c r="R16" s="24"/>
      <c r="S16" s="24"/>
      <c r="T16" s="24"/>
      <c r="U16" s="24">
        <v>3</v>
      </c>
      <c r="V16" s="24"/>
      <c r="W16" s="24">
        <v>7</v>
      </c>
      <c r="X16" s="5"/>
      <c r="Y16" s="26">
        <f t="shared" si="0"/>
        <v>10</v>
      </c>
      <c r="Z16" s="27">
        <v>9.1999999999999993</v>
      </c>
      <c r="AA16" s="27">
        <v>34.212499999999999</v>
      </c>
      <c r="AB16" s="27">
        <v>24.4375</v>
      </c>
      <c r="AC16" s="27">
        <v>21.85</v>
      </c>
      <c r="AD16" s="27">
        <v>40.077500000000001</v>
      </c>
      <c r="AE16" s="27">
        <v>120.75</v>
      </c>
      <c r="AF16" s="27">
        <v>0</v>
      </c>
      <c r="AG16" s="27">
        <v>23</v>
      </c>
      <c r="AH16" s="27">
        <v>32.15</v>
      </c>
      <c r="AI16" s="40">
        <v>22.8</v>
      </c>
    </row>
    <row r="17" spans="1:35">
      <c r="A17" s="39" t="s">
        <v>33</v>
      </c>
      <c r="B17" s="6" t="s">
        <v>47</v>
      </c>
      <c r="C17" s="3" t="s">
        <v>9</v>
      </c>
      <c r="D17" s="7" t="s">
        <v>48</v>
      </c>
      <c r="E17" s="1" t="s">
        <v>36</v>
      </c>
      <c r="F17" s="1" t="s">
        <v>12</v>
      </c>
      <c r="G17" s="1">
        <v>60</v>
      </c>
      <c r="H17" s="5">
        <v>1</v>
      </c>
      <c r="I17" s="21"/>
      <c r="J17" s="21"/>
      <c r="K17" s="1">
        <v>15</v>
      </c>
      <c r="L17" s="1">
        <v>4</v>
      </c>
      <c r="M17" s="1">
        <v>2</v>
      </c>
      <c r="N17" s="1"/>
      <c r="O17" s="1"/>
      <c r="P17" s="5">
        <v>3</v>
      </c>
      <c r="Q17" s="5">
        <v>3</v>
      </c>
      <c r="R17" s="5">
        <v>2</v>
      </c>
      <c r="S17" s="5">
        <v>2</v>
      </c>
      <c r="T17" s="5">
        <v>1</v>
      </c>
      <c r="U17" s="5">
        <v>2</v>
      </c>
      <c r="V17" s="5">
        <v>1</v>
      </c>
      <c r="W17" s="5"/>
      <c r="X17" s="5"/>
      <c r="Y17" s="26">
        <f t="shared" si="0"/>
        <v>14</v>
      </c>
      <c r="Z17" s="27">
        <v>12.65</v>
      </c>
      <c r="AA17" s="27">
        <v>78.2</v>
      </c>
      <c r="AB17" s="27">
        <v>166.17500000000001</v>
      </c>
      <c r="AC17" s="27">
        <v>21.206000000000003</v>
      </c>
      <c r="AD17" s="27">
        <v>97.75</v>
      </c>
      <c r="AE17" s="27">
        <v>274.85000000000002</v>
      </c>
      <c r="AF17" s="27">
        <v>0</v>
      </c>
      <c r="AG17" s="27">
        <v>41.975000000000001</v>
      </c>
      <c r="AH17" s="27">
        <v>39.35</v>
      </c>
      <c r="AI17" s="40">
        <v>50.4</v>
      </c>
    </row>
    <row r="18" spans="1:35">
      <c r="A18" s="39" t="s">
        <v>33</v>
      </c>
      <c r="B18" s="3" t="s">
        <v>49</v>
      </c>
      <c r="C18" s="3" t="s">
        <v>9</v>
      </c>
      <c r="D18" s="4" t="s">
        <v>50</v>
      </c>
      <c r="E18" s="5" t="s">
        <v>11</v>
      </c>
      <c r="F18" s="5" t="s">
        <v>12</v>
      </c>
      <c r="G18" s="5">
        <v>6</v>
      </c>
      <c r="H18" s="5">
        <v>1</v>
      </c>
      <c r="I18" s="21"/>
      <c r="J18" s="21"/>
      <c r="K18" s="5">
        <v>2</v>
      </c>
      <c r="L18" s="5"/>
      <c r="M18" s="5">
        <v>4</v>
      </c>
      <c r="N18" s="5"/>
      <c r="O18" s="5"/>
      <c r="P18" s="24"/>
      <c r="Q18" s="24"/>
      <c r="R18" s="24"/>
      <c r="S18" s="24">
        <v>1</v>
      </c>
      <c r="T18" s="24"/>
      <c r="U18" s="24"/>
      <c r="V18" s="24"/>
      <c r="W18" s="24">
        <v>1</v>
      </c>
      <c r="X18" s="5"/>
      <c r="Y18" s="26">
        <f t="shared" si="0"/>
        <v>2</v>
      </c>
      <c r="Z18" s="27">
        <v>12.65</v>
      </c>
      <c r="AA18" s="27">
        <v>97.75</v>
      </c>
      <c r="AB18" s="27">
        <v>166.17500000000001</v>
      </c>
      <c r="AC18" s="27">
        <v>21.206000000000003</v>
      </c>
      <c r="AD18" s="27">
        <v>97.75</v>
      </c>
      <c r="AE18" s="27">
        <v>274.85000000000002</v>
      </c>
      <c r="AF18" s="27">
        <v>0</v>
      </c>
      <c r="AG18" s="27">
        <v>33.35</v>
      </c>
      <c r="AH18" s="27">
        <v>37.550000000000004</v>
      </c>
      <c r="AI18" s="40">
        <v>33.6</v>
      </c>
    </row>
    <row r="19" spans="1:35">
      <c r="A19" s="39" t="s">
        <v>33</v>
      </c>
      <c r="B19" s="6" t="s">
        <v>51</v>
      </c>
      <c r="C19" s="3" t="s">
        <v>9</v>
      </c>
      <c r="D19" s="16" t="s">
        <v>52</v>
      </c>
      <c r="E19" s="17" t="s">
        <v>11</v>
      </c>
      <c r="F19" s="17" t="s">
        <v>12</v>
      </c>
      <c r="G19" s="17">
        <v>6</v>
      </c>
      <c r="H19" s="5">
        <v>1</v>
      </c>
      <c r="I19" s="22"/>
      <c r="J19" s="22"/>
      <c r="K19" s="17">
        <v>2</v>
      </c>
      <c r="L19" s="17"/>
      <c r="M19" s="17">
        <v>3</v>
      </c>
      <c r="N19" s="17"/>
      <c r="O19" s="17"/>
      <c r="P19" s="5"/>
      <c r="Q19" s="5">
        <v>1</v>
      </c>
      <c r="R19" s="5"/>
      <c r="S19" s="5"/>
      <c r="T19" s="5"/>
      <c r="U19" s="5"/>
      <c r="V19" s="5"/>
      <c r="W19" s="5">
        <v>1</v>
      </c>
      <c r="X19" s="11"/>
      <c r="Y19" s="26">
        <f t="shared" si="0"/>
        <v>2</v>
      </c>
      <c r="Z19" s="27">
        <v>20.7</v>
      </c>
      <c r="AA19" s="27">
        <v>195.5</v>
      </c>
      <c r="AB19" s="27">
        <v>278.58749999999998</v>
      </c>
      <c r="AC19" s="27">
        <v>42.55</v>
      </c>
      <c r="AD19" s="27">
        <v>175.95</v>
      </c>
      <c r="AE19" s="27">
        <v>396.75</v>
      </c>
      <c r="AF19" s="27">
        <v>0</v>
      </c>
      <c r="AG19" s="27">
        <v>41.4</v>
      </c>
      <c r="AH19" s="27">
        <v>20.149999999999999</v>
      </c>
      <c r="AI19" s="40">
        <v>90</v>
      </c>
    </row>
    <row r="20" spans="1:35">
      <c r="A20" s="39" t="s">
        <v>33</v>
      </c>
      <c r="B20" s="3" t="s">
        <v>53</v>
      </c>
      <c r="C20" s="3" t="s">
        <v>9</v>
      </c>
      <c r="D20" s="4" t="s">
        <v>54</v>
      </c>
      <c r="E20" s="5" t="s">
        <v>11</v>
      </c>
      <c r="F20" s="5" t="s">
        <v>12</v>
      </c>
      <c r="G20" s="5">
        <v>2</v>
      </c>
      <c r="H20" s="15">
        <v>1</v>
      </c>
      <c r="I20" s="21"/>
      <c r="J20" s="21"/>
      <c r="K20" s="5">
        <v>1</v>
      </c>
      <c r="L20" s="5"/>
      <c r="M20" s="5">
        <v>2</v>
      </c>
      <c r="N20" s="5"/>
      <c r="O20" s="5"/>
      <c r="P20" s="24"/>
      <c r="Q20" s="24"/>
      <c r="R20" s="24"/>
      <c r="S20" s="24"/>
      <c r="T20" s="24"/>
      <c r="U20" s="24"/>
      <c r="V20" s="24"/>
      <c r="W20" s="24"/>
      <c r="X20" s="5"/>
      <c r="Y20" s="26">
        <f t="shared" si="0"/>
        <v>0</v>
      </c>
      <c r="Z20" s="27">
        <v>20.7</v>
      </c>
      <c r="AA20" s="27">
        <v>146.625</v>
      </c>
      <c r="AB20" s="27">
        <v>278.58749999999998</v>
      </c>
      <c r="AC20" s="27">
        <v>42.55</v>
      </c>
      <c r="AD20" s="27">
        <v>175.95</v>
      </c>
      <c r="AE20" s="27">
        <v>396.75</v>
      </c>
      <c r="AF20" s="27">
        <v>0</v>
      </c>
      <c r="AG20" s="27">
        <v>41.4</v>
      </c>
      <c r="AH20" s="27">
        <v>20.149999999999999</v>
      </c>
      <c r="AI20" s="40">
        <v>80.400000000000006</v>
      </c>
    </row>
    <row r="21" spans="1:35">
      <c r="A21" s="39" t="s">
        <v>33</v>
      </c>
      <c r="B21" s="2" t="s">
        <v>55</v>
      </c>
      <c r="C21" s="3" t="s">
        <v>9</v>
      </c>
      <c r="D21" s="4" t="s">
        <v>56</v>
      </c>
      <c r="E21" s="5" t="s">
        <v>11</v>
      </c>
      <c r="F21" s="5" t="s">
        <v>12</v>
      </c>
      <c r="G21" s="5">
        <v>2</v>
      </c>
      <c r="H21" s="5">
        <v>3</v>
      </c>
      <c r="I21" s="21"/>
      <c r="J21" s="21"/>
      <c r="K21" s="5">
        <v>1</v>
      </c>
      <c r="L21" s="5"/>
      <c r="M21" s="5">
        <v>2</v>
      </c>
      <c r="N21" s="5"/>
      <c r="O21" s="5"/>
      <c r="P21" s="5"/>
      <c r="Q21" s="5"/>
      <c r="R21" s="5"/>
      <c r="S21" s="5"/>
      <c r="T21" s="5"/>
      <c r="U21" s="5"/>
      <c r="V21" s="5"/>
      <c r="W21" s="5">
        <v>1</v>
      </c>
      <c r="X21" s="5"/>
      <c r="Y21" s="26">
        <f t="shared" si="0"/>
        <v>1</v>
      </c>
      <c r="Z21" s="27">
        <v>9.1999999999999993</v>
      </c>
      <c r="AA21" s="27">
        <v>34.212499999999999</v>
      </c>
      <c r="AB21" s="27">
        <v>39.1</v>
      </c>
      <c r="AC21" s="27">
        <v>21.85</v>
      </c>
      <c r="AD21" s="27">
        <v>40.077500000000001</v>
      </c>
      <c r="AE21" s="27">
        <v>120.75</v>
      </c>
      <c r="AF21" s="27">
        <v>0</v>
      </c>
      <c r="AG21" s="27">
        <v>9.1999999999999993</v>
      </c>
      <c r="AH21" s="27">
        <v>32.15</v>
      </c>
      <c r="AI21" s="40">
        <v>90</v>
      </c>
    </row>
    <row r="22" spans="1:35">
      <c r="A22" s="39" t="s">
        <v>7</v>
      </c>
      <c r="B22" s="2" t="s">
        <v>57</v>
      </c>
      <c r="C22" s="3" t="s">
        <v>9</v>
      </c>
      <c r="D22" s="4" t="s">
        <v>58</v>
      </c>
      <c r="E22" s="1" t="s">
        <v>11</v>
      </c>
      <c r="F22" s="1" t="s">
        <v>12</v>
      </c>
      <c r="G22" s="5">
        <v>8</v>
      </c>
      <c r="H22" s="5">
        <v>1</v>
      </c>
      <c r="I22" s="21"/>
      <c r="J22" s="21"/>
      <c r="K22" s="5">
        <v>2</v>
      </c>
      <c r="L22" s="5"/>
      <c r="M22" s="5">
        <v>2</v>
      </c>
      <c r="N22" s="5"/>
      <c r="O22" s="5"/>
      <c r="P22" s="24"/>
      <c r="Q22" s="24"/>
      <c r="R22" s="24"/>
      <c r="S22" s="24"/>
      <c r="T22" s="24"/>
      <c r="U22" s="24"/>
      <c r="V22" s="24"/>
      <c r="W22" s="24">
        <v>2</v>
      </c>
      <c r="X22" s="5"/>
      <c r="Y22" s="26">
        <f t="shared" si="0"/>
        <v>2</v>
      </c>
      <c r="Z22" s="27">
        <v>9.1999999999999993</v>
      </c>
      <c r="AA22" s="27">
        <v>34.212499999999999</v>
      </c>
      <c r="AB22" s="27">
        <v>19.55</v>
      </c>
      <c r="AC22" s="27">
        <v>21.206000000000003</v>
      </c>
      <c r="AD22" s="27">
        <v>58.65</v>
      </c>
      <c r="AE22" s="27">
        <v>148.35</v>
      </c>
      <c r="AF22" s="27">
        <v>0</v>
      </c>
      <c r="AG22" s="27">
        <v>9.1999999999999993</v>
      </c>
      <c r="AH22" s="27">
        <v>39.35</v>
      </c>
      <c r="AI22" s="40">
        <v>21.6</v>
      </c>
    </row>
    <row r="23" spans="1:35">
      <c r="A23" s="39" t="s">
        <v>33</v>
      </c>
      <c r="B23" s="6" t="s">
        <v>59</v>
      </c>
      <c r="C23" s="3" t="s">
        <v>9</v>
      </c>
      <c r="D23" s="16" t="s">
        <v>60</v>
      </c>
      <c r="E23" s="17" t="s">
        <v>11</v>
      </c>
      <c r="F23" s="17" t="s">
        <v>23</v>
      </c>
      <c r="G23" s="17">
        <v>1</v>
      </c>
      <c r="H23" s="5">
        <v>1</v>
      </c>
      <c r="I23" s="22"/>
      <c r="J23" s="22"/>
      <c r="K23" s="17"/>
      <c r="L23" s="17"/>
      <c r="M23" s="17"/>
      <c r="N23" s="17"/>
      <c r="O23" s="17"/>
      <c r="P23" s="5"/>
      <c r="Q23" s="5"/>
      <c r="R23" s="5"/>
      <c r="S23" s="5"/>
      <c r="T23" s="5"/>
      <c r="U23" s="5"/>
      <c r="V23" s="5"/>
      <c r="W23" s="5"/>
      <c r="X23" s="11"/>
      <c r="Y23" s="26">
        <f t="shared" si="0"/>
        <v>0</v>
      </c>
      <c r="Z23" s="27">
        <v>9.1999999999999993</v>
      </c>
      <c r="AA23" s="27">
        <v>34.212499999999999</v>
      </c>
      <c r="AB23" s="27">
        <v>19.55</v>
      </c>
      <c r="AC23" s="27">
        <v>22.356000000000002</v>
      </c>
      <c r="AD23" s="27">
        <v>58.65</v>
      </c>
      <c r="AE23" s="27">
        <v>136.85</v>
      </c>
      <c r="AF23" s="27">
        <v>0</v>
      </c>
      <c r="AG23" s="27">
        <v>9.1999999999999993</v>
      </c>
      <c r="AH23" s="27">
        <v>39.35</v>
      </c>
      <c r="AI23" s="40">
        <v>78</v>
      </c>
    </row>
    <row r="24" spans="1:35">
      <c r="A24" s="39" t="s">
        <v>7</v>
      </c>
      <c r="B24" s="18" t="s">
        <v>61</v>
      </c>
      <c r="C24" s="3" t="s">
        <v>9</v>
      </c>
      <c r="D24" s="12" t="s">
        <v>62</v>
      </c>
      <c r="E24" s="13" t="s">
        <v>36</v>
      </c>
      <c r="F24" s="13" t="s">
        <v>12</v>
      </c>
      <c r="G24" s="13">
        <v>30</v>
      </c>
      <c r="H24" s="5">
        <v>1</v>
      </c>
      <c r="I24" s="23"/>
      <c r="J24" s="23"/>
      <c r="K24" s="13">
        <v>8</v>
      </c>
      <c r="L24" s="13"/>
      <c r="M24" s="13">
        <v>2</v>
      </c>
      <c r="N24" s="13"/>
      <c r="O24" s="13"/>
      <c r="P24" s="24"/>
      <c r="Q24" s="24"/>
      <c r="R24" s="24"/>
      <c r="S24" s="24"/>
      <c r="T24" s="24">
        <v>1</v>
      </c>
      <c r="U24" s="24">
        <v>2</v>
      </c>
      <c r="V24" s="24">
        <v>1</v>
      </c>
      <c r="W24" s="24"/>
      <c r="X24" s="25"/>
      <c r="Y24" s="26">
        <f t="shared" si="0"/>
        <v>4</v>
      </c>
      <c r="Z24" s="27">
        <v>10.35</v>
      </c>
      <c r="AA24" s="27">
        <v>16.6175</v>
      </c>
      <c r="AB24" s="27">
        <v>0</v>
      </c>
      <c r="AC24" s="27">
        <v>12.742000000000001</v>
      </c>
      <c r="AD24" s="27">
        <v>39.1</v>
      </c>
      <c r="AE24" s="27">
        <v>85.1</v>
      </c>
      <c r="AF24" s="27">
        <v>0</v>
      </c>
      <c r="AG24" s="27">
        <v>9.1999999999999993</v>
      </c>
      <c r="AH24" s="27">
        <v>28.549999999999997</v>
      </c>
      <c r="AI24" s="40">
        <v>27.6</v>
      </c>
    </row>
    <row r="25" spans="1:35">
      <c r="A25" s="39" t="s">
        <v>7</v>
      </c>
      <c r="B25" s="8" t="s">
        <v>63</v>
      </c>
      <c r="C25" s="3" t="s">
        <v>9</v>
      </c>
      <c r="D25" s="12" t="s">
        <v>64</v>
      </c>
      <c r="E25" s="1" t="s">
        <v>11</v>
      </c>
      <c r="F25" s="1" t="s">
        <v>12</v>
      </c>
      <c r="G25" s="13">
        <v>2</v>
      </c>
      <c r="H25" s="5">
        <v>1</v>
      </c>
      <c r="I25" s="23"/>
      <c r="J25" s="23"/>
      <c r="K25" s="13">
        <v>1</v>
      </c>
      <c r="L25" s="13"/>
      <c r="M25" s="13">
        <v>4</v>
      </c>
      <c r="N25" s="13"/>
      <c r="O25" s="13"/>
      <c r="P25" s="5"/>
      <c r="Q25" s="5"/>
      <c r="R25" s="5"/>
      <c r="S25" s="5"/>
      <c r="T25" s="5"/>
      <c r="U25" s="5"/>
      <c r="V25" s="5"/>
      <c r="W25" s="5">
        <v>2</v>
      </c>
      <c r="X25" s="15"/>
      <c r="Y25" s="26">
        <f t="shared" si="0"/>
        <v>2</v>
      </c>
      <c r="Z25" s="27">
        <v>10.35</v>
      </c>
      <c r="AA25" s="27">
        <v>48.875</v>
      </c>
      <c r="AB25" s="27">
        <v>19.55</v>
      </c>
      <c r="AC25" s="27">
        <v>29.900000000000002</v>
      </c>
      <c r="AD25" s="27">
        <v>58.65</v>
      </c>
      <c r="AE25" s="27">
        <v>146.05000000000001</v>
      </c>
      <c r="AF25" s="27">
        <v>0</v>
      </c>
      <c r="AG25" s="27">
        <v>9.1999999999999993</v>
      </c>
      <c r="AH25" s="27">
        <v>39.35</v>
      </c>
      <c r="AI25" s="40">
        <v>22.8</v>
      </c>
    </row>
    <row r="26" spans="1:35">
      <c r="A26" s="39" t="s">
        <v>65</v>
      </c>
      <c r="B26" s="9" t="s">
        <v>66</v>
      </c>
      <c r="C26" s="9" t="s">
        <v>26</v>
      </c>
      <c r="D26" s="7" t="s">
        <v>67</v>
      </c>
      <c r="E26" s="1" t="s">
        <v>11</v>
      </c>
      <c r="F26" s="1" t="s">
        <v>23</v>
      </c>
      <c r="G26" s="1">
        <v>2</v>
      </c>
      <c r="H26" s="5">
        <v>4</v>
      </c>
      <c r="I26" s="21"/>
      <c r="J26" s="21"/>
      <c r="K26" s="1"/>
      <c r="L26" s="1">
        <v>1</v>
      </c>
      <c r="M26" s="1"/>
      <c r="N26" s="1"/>
      <c r="O26" s="1"/>
      <c r="P26" s="24"/>
      <c r="Q26" s="24"/>
      <c r="R26" s="24"/>
      <c r="S26" s="24"/>
      <c r="T26" s="24"/>
      <c r="U26" s="24"/>
      <c r="V26" s="24"/>
      <c r="W26" s="24">
        <v>1</v>
      </c>
      <c r="X26" s="24"/>
      <c r="Y26" s="26">
        <f t="shared" si="0"/>
        <v>1</v>
      </c>
      <c r="Z26" s="27">
        <v>20.7</v>
      </c>
      <c r="AA26" s="27">
        <v>78.2</v>
      </c>
      <c r="AB26" s="27">
        <v>29.324999999999999</v>
      </c>
      <c r="AC26" s="27">
        <v>21.206000000000003</v>
      </c>
      <c r="AD26" s="27">
        <v>117.3</v>
      </c>
      <c r="AE26" s="27">
        <v>353.05</v>
      </c>
      <c r="AF26" s="27">
        <v>0</v>
      </c>
      <c r="AG26" s="27">
        <v>43.125</v>
      </c>
      <c r="AH26" s="27">
        <v>20.149999999999999</v>
      </c>
      <c r="AI26" s="40">
        <v>50.4</v>
      </c>
    </row>
    <row r="27" spans="1:35">
      <c r="A27" s="39" t="s">
        <v>65</v>
      </c>
      <c r="B27" s="6" t="s">
        <v>68</v>
      </c>
      <c r="C27" s="9" t="s">
        <v>26</v>
      </c>
      <c r="D27" s="7" t="s">
        <v>69</v>
      </c>
      <c r="E27" s="1" t="s">
        <v>11</v>
      </c>
      <c r="F27" s="1" t="s">
        <v>23</v>
      </c>
      <c r="G27" s="1">
        <v>8</v>
      </c>
      <c r="H27" s="5">
        <v>2</v>
      </c>
      <c r="I27" s="21"/>
      <c r="J27" s="21"/>
      <c r="K27" s="1"/>
      <c r="L27" s="1">
        <v>2</v>
      </c>
      <c r="M27" s="1"/>
      <c r="N27" s="1"/>
      <c r="O27" s="1"/>
      <c r="P27" s="5"/>
      <c r="Q27" s="5"/>
      <c r="R27" s="5"/>
      <c r="S27" s="5"/>
      <c r="T27" s="5"/>
      <c r="U27" s="5"/>
      <c r="V27" s="5"/>
      <c r="W27" s="5"/>
      <c r="X27" s="5"/>
      <c r="Y27" s="26">
        <f t="shared" si="0"/>
        <v>0</v>
      </c>
      <c r="Z27" s="27">
        <v>9.1999999999999993</v>
      </c>
      <c r="AA27" s="27">
        <v>34.212499999999999</v>
      </c>
      <c r="AB27" s="27">
        <v>19.55</v>
      </c>
      <c r="AC27" s="27">
        <v>21.206000000000003</v>
      </c>
      <c r="AD27" s="27">
        <v>58.65</v>
      </c>
      <c r="AE27" s="27">
        <v>147.19999999999999</v>
      </c>
      <c r="AF27" s="27">
        <v>0</v>
      </c>
      <c r="AG27" s="27">
        <v>9.1999999999999993</v>
      </c>
      <c r="AH27" s="27">
        <v>39.35</v>
      </c>
      <c r="AI27" s="40">
        <v>27.6</v>
      </c>
    </row>
    <row r="28" spans="1:35">
      <c r="A28" s="39" t="s">
        <v>65</v>
      </c>
      <c r="B28" s="9" t="s">
        <v>70</v>
      </c>
      <c r="C28" s="9" t="s">
        <v>26</v>
      </c>
      <c r="D28" s="7" t="s">
        <v>71</v>
      </c>
      <c r="E28" s="1" t="s">
        <v>11</v>
      </c>
      <c r="F28" s="1" t="s">
        <v>23</v>
      </c>
      <c r="G28" s="1">
        <v>2</v>
      </c>
      <c r="H28" s="5">
        <v>1</v>
      </c>
      <c r="I28" s="21"/>
      <c r="J28" s="21"/>
      <c r="K28" s="1"/>
      <c r="L28" s="1">
        <v>2</v>
      </c>
      <c r="M28" s="1"/>
      <c r="N28" s="1"/>
      <c r="O28" s="1"/>
      <c r="P28" s="24"/>
      <c r="Q28" s="24"/>
      <c r="R28" s="24"/>
      <c r="S28" s="24"/>
      <c r="T28" s="24"/>
      <c r="U28" s="24"/>
      <c r="V28" s="24"/>
      <c r="W28" s="24">
        <v>2</v>
      </c>
      <c r="X28" s="24"/>
      <c r="Y28" s="26">
        <f t="shared" si="0"/>
        <v>2</v>
      </c>
      <c r="Z28" s="27">
        <v>9.1999999999999993</v>
      </c>
      <c r="AA28" s="27">
        <v>48.875</v>
      </c>
      <c r="AB28" s="27">
        <v>24.4375</v>
      </c>
      <c r="AC28" s="27">
        <v>21.85</v>
      </c>
      <c r="AD28" s="27">
        <v>87.974999999999994</v>
      </c>
      <c r="AE28" s="27">
        <v>299</v>
      </c>
      <c r="AF28" s="27">
        <v>0</v>
      </c>
      <c r="AG28" s="27">
        <v>23</v>
      </c>
      <c r="AH28" s="27">
        <v>32.15</v>
      </c>
      <c r="AI28" s="40">
        <v>78</v>
      </c>
    </row>
    <row r="29" spans="1:35">
      <c r="A29" s="39" t="s">
        <v>65</v>
      </c>
      <c r="B29" s="9" t="s">
        <v>72</v>
      </c>
      <c r="C29" s="9" t="s">
        <v>26</v>
      </c>
      <c r="D29" s="7">
        <v>7890</v>
      </c>
      <c r="E29" s="1" t="s">
        <v>11</v>
      </c>
      <c r="F29" s="1" t="s">
        <v>23</v>
      </c>
      <c r="G29" s="1">
        <v>6</v>
      </c>
      <c r="H29" s="15">
        <v>1</v>
      </c>
      <c r="I29" s="21"/>
      <c r="J29" s="21"/>
      <c r="K29" s="1"/>
      <c r="L29" s="1">
        <v>2</v>
      </c>
      <c r="M29" s="1"/>
      <c r="N29" s="1"/>
      <c r="O29" s="1"/>
      <c r="P29" s="5">
        <v>2</v>
      </c>
      <c r="Q29" s="5"/>
      <c r="R29" s="5"/>
      <c r="S29" s="5"/>
      <c r="T29" s="5"/>
      <c r="U29" s="5"/>
      <c r="V29" s="5"/>
      <c r="W29" s="5"/>
      <c r="X29" s="5"/>
      <c r="Y29" s="26">
        <f t="shared" si="0"/>
        <v>2</v>
      </c>
      <c r="Z29" s="27">
        <v>12.65</v>
      </c>
      <c r="AA29" s="27">
        <v>92.862499999999997</v>
      </c>
      <c r="AB29" s="27">
        <v>0</v>
      </c>
      <c r="AC29" s="27">
        <v>21.206000000000003</v>
      </c>
      <c r="AD29" s="27">
        <v>103.5</v>
      </c>
      <c r="AE29" s="27">
        <v>340.4</v>
      </c>
      <c r="AF29" s="27">
        <v>0</v>
      </c>
      <c r="AG29" s="27">
        <v>41.975000000000001</v>
      </c>
      <c r="AH29" s="27">
        <v>39.35</v>
      </c>
      <c r="AI29" s="40">
        <v>80.400000000000006</v>
      </c>
    </row>
    <row r="30" spans="1:35">
      <c r="A30" s="39" t="s">
        <v>65</v>
      </c>
      <c r="B30" s="19" t="s">
        <v>73</v>
      </c>
      <c r="C30" s="9" t="s">
        <v>26</v>
      </c>
      <c r="D30" s="7" t="s">
        <v>74</v>
      </c>
      <c r="E30" s="1" t="s">
        <v>11</v>
      </c>
      <c r="F30" s="1" t="s">
        <v>23</v>
      </c>
      <c r="G30" s="1">
        <v>8</v>
      </c>
      <c r="H30" s="5">
        <v>1</v>
      </c>
      <c r="I30" s="21"/>
      <c r="J30" s="21"/>
      <c r="K30" s="1"/>
      <c r="L30" s="1"/>
      <c r="M30" s="1"/>
      <c r="N30" s="1"/>
      <c r="O30" s="1"/>
      <c r="P30" s="24"/>
      <c r="Q30" s="24"/>
      <c r="R30" s="24"/>
      <c r="S30" s="24"/>
      <c r="T30" s="24"/>
      <c r="U30" s="24"/>
      <c r="V30" s="24">
        <v>2</v>
      </c>
      <c r="W30" s="24"/>
      <c r="X30" s="24"/>
      <c r="Y30" s="26">
        <f t="shared" si="0"/>
        <v>2</v>
      </c>
      <c r="Z30" s="27">
        <v>20.7</v>
      </c>
      <c r="AA30" s="27">
        <v>78.2</v>
      </c>
      <c r="AB30" s="27">
        <v>29.324999999999999</v>
      </c>
      <c r="AC30" s="27">
        <v>21.206000000000003</v>
      </c>
      <c r="AD30" s="27">
        <v>146.625</v>
      </c>
      <c r="AE30" s="27">
        <v>440.45</v>
      </c>
      <c r="AF30" s="27">
        <v>0</v>
      </c>
      <c r="AG30" s="27">
        <v>43.125</v>
      </c>
      <c r="AH30" s="27">
        <v>20.149999999999999</v>
      </c>
      <c r="AI30" s="40">
        <v>33.6</v>
      </c>
    </row>
    <row r="31" spans="1:35">
      <c r="A31" s="39" t="s">
        <v>65</v>
      </c>
      <c r="B31" s="6" t="s">
        <v>75</v>
      </c>
      <c r="C31" s="9" t="s">
        <v>26</v>
      </c>
      <c r="D31" s="7" t="s">
        <v>76</v>
      </c>
      <c r="E31" s="1" t="s">
        <v>11</v>
      </c>
      <c r="F31" s="1" t="s">
        <v>23</v>
      </c>
      <c r="G31" s="1">
        <v>6</v>
      </c>
      <c r="H31" s="5">
        <v>1</v>
      </c>
      <c r="I31" s="21"/>
      <c r="J31" s="21"/>
      <c r="K31" s="1"/>
      <c r="L31" s="1">
        <v>2</v>
      </c>
      <c r="M31" s="1"/>
      <c r="N31" s="1"/>
      <c r="O31" s="1"/>
      <c r="P31" s="5">
        <v>2</v>
      </c>
      <c r="Q31" s="5"/>
      <c r="R31" s="5"/>
      <c r="S31" s="5"/>
      <c r="T31" s="5"/>
      <c r="U31" s="5"/>
      <c r="V31" s="5"/>
      <c r="W31" s="5"/>
      <c r="X31" s="5"/>
      <c r="Y31" s="26">
        <f t="shared" si="0"/>
        <v>2</v>
      </c>
      <c r="Z31" s="27">
        <v>20.7</v>
      </c>
      <c r="AA31" s="27">
        <v>78.2</v>
      </c>
      <c r="AB31" s="27">
        <v>24.4375</v>
      </c>
      <c r="AC31" s="27">
        <v>21.206000000000003</v>
      </c>
      <c r="AD31" s="27">
        <v>117.3</v>
      </c>
      <c r="AE31" s="27">
        <v>353.05</v>
      </c>
      <c r="AF31" s="27">
        <v>0</v>
      </c>
      <c r="AG31" s="27">
        <v>43.125</v>
      </c>
      <c r="AH31" s="27">
        <v>20.149999999999999</v>
      </c>
      <c r="AI31" s="40">
        <v>30</v>
      </c>
    </row>
    <row r="32" spans="1:35">
      <c r="A32" s="39" t="s">
        <v>65</v>
      </c>
      <c r="B32" s="6" t="s">
        <v>77</v>
      </c>
      <c r="C32" s="9" t="s">
        <v>26</v>
      </c>
      <c r="D32" s="7" t="s">
        <v>78</v>
      </c>
      <c r="E32" s="1" t="s">
        <v>11</v>
      </c>
      <c r="F32" s="1" t="s">
        <v>23</v>
      </c>
      <c r="G32" s="1">
        <v>2</v>
      </c>
      <c r="H32" s="15">
        <v>1</v>
      </c>
      <c r="I32" s="21"/>
      <c r="J32" s="21"/>
      <c r="K32" s="1"/>
      <c r="L32" s="1"/>
      <c r="M32" s="1"/>
      <c r="N32" s="1"/>
      <c r="O32" s="1"/>
      <c r="P32" s="24"/>
      <c r="Q32" s="24"/>
      <c r="R32" s="24"/>
      <c r="S32" s="24"/>
      <c r="T32" s="24"/>
      <c r="U32" s="24"/>
      <c r="V32" s="24"/>
      <c r="W32" s="24"/>
      <c r="X32" s="24"/>
      <c r="Y32" s="26">
        <f t="shared" si="0"/>
        <v>0</v>
      </c>
      <c r="Z32" s="27">
        <v>20.7</v>
      </c>
      <c r="AA32" s="27">
        <v>78.2</v>
      </c>
      <c r="AB32" s="27">
        <v>24.4375</v>
      </c>
      <c r="AC32" s="27">
        <v>21.206000000000003</v>
      </c>
      <c r="AD32" s="27">
        <v>117.3</v>
      </c>
      <c r="AE32" s="27">
        <v>353.05</v>
      </c>
      <c r="AF32" s="27">
        <v>0</v>
      </c>
      <c r="AG32" s="27">
        <v>43.125</v>
      </c>
      <c r="AH32" s="27">
        <v>20.149999999999999</v>
      </c>
      <c r="AI32" s="40">
        <v>50.4</v>
      </c>
    </row>
    <row r="33" spans="1:35">
      <c r="A33" s="39" t="s">
        <v>65</v>
      </c>
      <c r="B33" s="9" t="s">
        <v>79</v>
      </c>
      <c r="C33" s="9" t="s">
        <v>26</v>
      </c>
      <c r="D33" s="7" t="s">
        <v>74</v>
      </c>
      <c r="E33" s="1" t="s">
        <v>11</v>
      </c>
      <c r="F33" s="1" t="s">
        <v>23</v>
      </c>
      <c r="G33" s="1">
        <v>8</v>
      </c>
      <c r="H33" s="5">
        <v>1</v>
      </c>
      <c r="I33" s="21"/>
      <c r="J33" s="21"/>
      <c r="K33" s="1"/>
      <c r="L33" s="1"/>
      <c r="M33" s="1"/>
      <c r="N33" s="1"/>
      <c r="O33" s="1"/>
      <c r="P33" s="5"/>
      <c r="Q33" s="5"/>
      <c r="R33" s="5"/>
      <c r="S33" s="5"/>
      <c r="T33" s="5"/>
      <c r="U33" s="5"/>
      <c r="V33" s="5"/>
      <c r="W33" s="5"/>
      <c r="X33" s="5"/>
      <c r="Y33" s="26">
        <f t="shared" si="0"/>
        <v>0</v>
      </c>
      <c r="Z33" s="27">
        <v>9.1999999999999993</v>
      </c>
      <c r="AA33" s="27">
        <v>48.875</v>
      </c>
      <c r="AB33" s="27">
        <v>24.4375</v>
      </c>
      <c r="AC33" s="27">
        <v>21.85</v>
      </c>
      <c r="AD33" s="27">
        <v>87.974999999999994</v>
      </c>
      <c r="AE33" s="27">
        <v>299</v>
      </c>
      <c r="AF33" s="27">
        <v>0</v>
      </c>
      <c r="AG33" s="27">
        <v>9.1999999999999993</v>
      </c>
      <c r="AH33" s="27">
        <v>32.15</v>
      </c>
      <c r="AI33" s="40">
        <v>80.400000000000006</v>
      </c>
    </row>
    <row r="34" spans="1:35">
      <c r="A34" s="39" t="s">
        <v>65</v>
      </c>
      <c r="B34" s="9" t="s">
        <v>80</v>
      </c>
      <c r="C34" s="9" t="s">
        <v>26</v>
      </c>
      <c r="D34" s="7" t="s">
        <v>81</v>
      </c>
      <c r="E34" s="1" t="s">
        <v>11</v>
      </c>
      <c r="F34" s="1" t="s">
        <v>23</v>
      </c>
      <c r="G34" s="1">
        <v>2</v>
      </c>
      <c r="H34" s="5">
        <v>1</v>
      </c>
      <c r="I34" s="21"/>
      <c r="J34" s="21"/>
      <c r="K34" s="1"/>
      <c r="L34" s="1"/>
      <c r="M34" s="1"/>
      <c r="N34" s="1"/>
      <c r="O34" s="1"/>
      <c r="P34" s="24"/>
      <c r="Q34" s="24"/>
      <c r="R34" s="24"/>
      <c r="S34" s="24"/>
      <c r="T34" s="24"/>
      <c r="U34" s="24"/>
      <c r="V34" s="24"/>
      <c r="W34" s="24"/>
      <c r="X34" s="24"/>
      <c r="Y34" s="26">
        <f t="shared" si="0"/>
        <v>0</v>
      </c>
      <c r="Z34" s="27">
        <v>9.1999999999999993</v>
      </c>
      <c r="AA34" s="27">
        <v>43.987499999999997</v>
      </c>
      <c r="AB34" s="27">
        <v>29.324999999999999</v>
      </c>
      <c r="AC34" s="27">
        <v>21.85</v>
      </c>
      <c r="AD34" s="27">
        <v>58.65</v>
      </c>
      <c r="AE34" s="27">
        <v>120.75</v>
      </c>
      <c r="AF34" s="27">
        <v>0</v>
      </c>
      <c r="AG34" s="27">
        <v>9.1999999999999993</v>
      </c>
      <c r="AH34" s="27">
        <v>32.15</v>
      </c>
      <c r="AI34" s="40">
        <v>22.8</v>
      </c>
    </row>
    <row r="35" spans="1:35">
      <c r="A35" s="39" t="s">
        <v>65</v>
      </c>
      <c r="B35" s="9" t="s">
        <v>82</v>
      </c>
      <c r="C35" s="9" t="s">
        <v>26</v>
      </c>
      <c r="D35" s="7" t="s">
        <v>83</v>
      </c>
      <c r="E35" s="1" t="s">
        <v>11</v>
      </c>
      <c r="F35" s="1" t="s">
        <v>23</v>
      </c>
      <c r="G35" s="1">
        <v>2</v>
      </c>
      <c r="H35" s="15">
        <v>2</v>
      </c>
      <c r="I35" s="21"/>
      <c r="J35" s="21"/>
      <c r="K35" s="1"/>
      <c r="L35" s="1"/>
      <c r="M35" s="1"/>
      <c r="N35" s="1"/>
      <c r="O35" s="1"/>
      <c r="P35" s="5"/>
      <c r="Q35" s="5"/>
      <c r="R35" s="5"/>
      <c r="S35" s="5"/>
      <c r="T35" s="5"/>
      <c r="U35" s="5"/>
      <c r="V35" s="5"/>
      <c r="W35" s="5"/>
      <c r="X35" s="5"/>
      <c r="Y35" s="26">
        <f t="shared" si="0"/>
        <v>0</v>
      </c>
      <c r="Z35" s="27">
        <v>12.65</v>
      </c>
      <c r="AA35" s="27">
        <v>73.3125</v>
      </c>
      <c r="AB35" s="27">
        <v>0</v>
      </c>
      <c r="AC35" s="27">
        <v>21.206000000000003</v>
      </c>
      <c r="AD35" s="27">
        <v>103.5</v>
      </c>
      <c r="AE35" s="27">
        <v>340.4</v>
      </c>
      <c r="AF35" s="27">
        <v>0</v>
      </c>
      <c r="AG35" s="27">
        <v>41.975000000000001</v>
      </c>
      <c r="AH35" s="27">
        <v>39.35</v>
      </c>
      <c r="AI35" s="40">
        <v>78</v>
      </c>
    </row>
    <row r="36" spans="1:35">
      <c r="A36" s="39" t="s">
        <v>65</v>
      </c>
      <c r="B36" s="20" t="s">
        <v>84</v>
      </c>
      <c r="C36" s="9" t="s">
        <v>26</v>
      </c>
      <c r="D36" s="7" t="s">
        <v>85</v>
      </c>
      <c r="E36" s="1" t="s">
        <v>11</v>
      </c>
      <c r="F36" s="1" t="s">
        <v>23</v>
      </c>
      <c r="G36" s="1">
        <v>6</v>
      </c>
      <c r="H36" s="5">
        <v>1</v>
      </c>
      <c r="I36" s="21"/>
      <c r="J36" s="21"/>
      <c r="K36" s="1"/>
      <c r="L36" s="1">
        <v>1</v>
      </c>
      <c r="M36" s="1"/>
      <c r="N36" s="1"/>
      <c r="O36" s="1"/>
      <c r="P36" s="24"/>
      <c r="Q36" s="24"/>
      <c r="R36" s="24"/>
      <c r="S36" s="24"/>
      <c r="T36" s="24"/>
      <c r="U36" s="24"/>
      <c r="V36" s="24"/>
      <c r="W36" s="24"/>
      <c r="X36" s="24"/>
      <c r="Y36" s="26">
        <f t="shared" si="0"/>
        <v>0</v>
      </c>
      <c r="Z36" s="27">
        <v>35.65</v>
      </c>
      <c r="AA36" s="27">
        <v>48.875</v>
      </c>
      <c r="AB36" s="27">
        <v>19.55</v>
      </c>
      <c r="AC36" s="27">
        <v>57.5</v>
      </c>
      <c r="AD36" s="27">
        <v>156.4</v>
      </c>
      <c r="AE36" s="27">
        <v>573.5625</v>
      </c>
      <c r="AF36" s="27">
        <v>0</v>
      </c>
      <c r="AG36" s="27">
        <v>56.35</v>
      </c>
      <c r="AH36" s="27">
        <v>20.149999999999999</v>
      </c>
      <c r="AI36" s="40">
        <v>150</v>
      </c>
    </row>
    <row r="37" spans="1:35">
      <c r="A37" s="39" t="s">
        <v>65</v>
      </c>
      <c r="B37" s="20" t="s">
        <v>86</v>
      </c>
      <c r="C37" s="9" t="s">
        <v>26</v>
      </c>
      <c r="D37" s="7" t="s">
        <v>87</v>
      </c>
      <c r="E37" s="1" t="s">
        <v>11</v>
      </c>
      <c r="F37" s="1" t="s">
        <v>23</v>
      </c>
      <c r="G37" s="1">
        <v>8</v>
      </c>
      <c r="H37" s="5">
        <v>1</v>
      </c>
      <c r="I37" s="21"/>
      <c r="J37" s="21"/>
      <c r="K37" s="1"/>
      <c r="L37" s="1">
        <v>10</v>
      </c>
      <c r="M37" s="1"/>
      <c r="N37" s="1"/>
      <c r="O37" s="1"/>
      <c r="P37" s="5"/>
      <c r="Q37" s="5"/>
      <c r="R37" s="5"/>
      <c r="S37" s="5"/>
      <c r="T37" s="5"/>
      <c r="U37" s="5"/>
      <c r="V37" s="5"/>
      <c r="W37" s="5">
        <v>5</v>
      </c>
      <c r="X37" s="5">
        <v>2</v>
      </c>
      <c r="Y37" s="26">
        <f t="shared" si="0"/>
        <v>5</v>
      </c>
      <c r="Z37" s="27">
        <v>9.1999999999999993</v>
      </c>
      <c r="AA37" s="27">
        <v>48.875</v>
      </c>
      <c r="AB37" s="27">
        <v>24.4375</v>
      </c>
      <c r="AC37" s="27">
        <v>21.85</v>
      </c>
      <c r="AD37" s="27">
        <v>87.974999999999994</v>
      </c>
      <c r="AE37" s="27">
        <v>299</v>
      </c>
      <c r="AF37" s="27">
        <v>0</v>
      </c>
      <c r="AG37" s="27">
        <v>9.1999999999999993</v>
      </c>
      <c r="AH37" s="27">
        <v>32.15</v>
      </c>
      <c r="AI37" s="40">
        <v>80.400000000000006</v>
      </c>
    </row>
    <row r="38" spans="1:35">
      <c r="A38" s="39" t="s">
        <v>65</v>
      </c>
      <c r="B38" s="20" t="s">
        <v>88</v>
      </c>
      <c r="C38" s="9" t="s">
        <v>26</v>
      </c>
      <c r="D38" s="7" t="s">
        <v>89</v>
      </c>
      <c r="E38" s="1" t="s">
        <v>11</v>
      </c>
      <c r="F38" s="1" t="s">
        <v>23</v>
      </c>
      <c r="G38" s="1">
        <v>4</v>
      </c>
      <c r="H38" s="5">
        <v>1</v>
      </c>
      <c r="I38" s="21"/>
      <c r="J38" s="21"/>
      <c r="K38" s="1"/>
      <c r="L38" s="1"/>
      <c r="M38" s="1"/>
      <c r="N38" s="1"/>
      <c r="O38" s="1"/>
      <c r="P38" s="24"/>
      <c r="Q38" s="24"/>
      <c r="R38" s="24"/>
      <c r="S38" s="24"/>
      <c r="T38" s="24"/>
      <c r="U38" s="24"/>
      <c r="V38" s="24"/>
      <c r="W38" s="24"/>
      <c r="X38" s="24"/>
      <c r="Y38" s="26">
        <f t="shared" si="0"/>
        <v>0</v>
      </c>
      <c r="Z38" s="27">
        <v>9.7750000000000004</v>
      </c>
      <c r="AA38" s="27">
        <v>8.7974999999999994</v>
      </c>
      <c r="AB38" s="27">
        <v>2.9324999999999997</v>
      </c>
      <c r="AC38" s="27">
        <v>20.700000000000003</v>
      </c>
      <c r="AD38" s="27">
        <v>29.324999999999999</v>
      </c>
      <c r="AE38" s="27">
        <v>55.062000000000005</v>
      </c>
      <c r="AF38" s="27">
        <v>0</v>
      </c>
      <c r="AG38" s="27">
        <v>9.1999999999999993</v>
      </c>
      <c r="AH38" s="27">
        <v>33.35</v>
      </c>
      <c r="AI38" s="40">
        <v>22.8</v>
      </c>
    </row>
    <row r="39" spans="1:35">
      <c r="A39" s="39" t="s">
        <v>90</v>
      </c>
      <c r="B39" s="8" t="s">
        <v>91</v>
      </c>
      <c r="C39" s="3" t="s">
        <v>9</v>
      </c>
      <c r="D39" s="7" t="s">
        <v>92</v>
      </c>
      <c r="E39" s="1" t="s">
        <v>11</v>
      </c>
      <c r="F39" s="1" t="s">
        <v>23</v>
      </c>
      <c r="G39" s="1">
        <v>1</v>
      </c>
      <c r="H39" s="5">
        <v>1</v>
      </c>
      <c r="I39" s="21"/>
      <c r="J39" s="21"/>
      <c r="K39" s="1"/>
      <c r="L39" s="1"/>
      <c r="M39" s="1"/>
      <c r="N39" s="1"/>
      <c r="O39" s="1"/>
      <c r="P39" s="5"/>
      <c r="Q39" s="5"/>
      <c r="R39" s="5"/>
      <c r="S39" s="5"/>
      <c r="T39" s="5"/>
      <c r="U39" s="5"/>
      <c r="V39" s="5"/>
      <c r="W39" s="5"/>
      <c r="X39" s="5"/>
      <c r="Y39" s="26">
        <f t="shared" si="0"/>
        <v>0</v>
      </c>
      <c r="Z39" s="27">
        <v>9.7750000000000004</v>
      </c>
      <c r="AA39" s="27">
        <v>6.8425000000000002</v>
      </c>
      <c r="AB39" s="27">
        <v>2.9324999999999997</v>
      </c>
      <c r="AC39" s="27">
        <v>17.25</v>
      </c>
      <c r="AD39" s="27">
        <v>53.762500000000003</v>
      </c>
      <c r="AE39" s="27">
        <v>60.26</v>
      </c>
      <c r="AF39" s="27">
        <v>0</v>
      </c>
      <c r="AG39" s="27">
        <v>9.1999999999999993</v>
      </c>
      <c r="AH39" s="27">
        <v>32.15</v>
      </c>
      <c r="AI39" s="40">
        <v>27.6</v>
      </c>
    </row>
    <row r="40" spans="1:35">
      <c r="A40" s="39" t="s">
        <v>90</v>
      </c>
      <c r="B40" s="9" t="s">
        <v>93</v>
      </c>
      <c r="C40" s="3" t="s">
        <v>9</v>
      </c>
      <c r="D40" s="7">
        <v>450</v>
      </c>
      <c r="E40" s="1" t="s">
        <v>11</v>
      </c>
      <c r="F40" s="1" t="s">
        <v>12</v>
      </c>
      <c r="G40" s="1">
        <v>8</v>
      </c>
      <c r="H40" s="5">
        <v>1</v>
      </c>
      <c r="I40" s="21"/>
      <c r="J40" s="21"/>
      <c r="K40" s="1">
        <v>2</v>
      </c>
      <c r="L40" s="1">
        <v>2</v>
      </c>
      <c r="M40" s="1">
        <v>2</v>
      </c>
      <c r="N40" s="1"/>
      <c r="O40" s="1"/>
      <c r="P40" s="24"/>
      <c r="Q40" s="24">
        <v>1</v>
      </c>
      <c r="R40" s="24"/>
      <c r="S40" s="24"/>
      <c r="T40" s="24"/>
      <c r="U40" s="24"/>
      <c r="V40" s="24"/>
      <c r="W40" s="24">
        <v>5</v>
      </c>
      <c r="X40" s="24"/>
      <c r="Y40" s="26">
        <f t="shared" si="0"/>
        <v>6</v>
      </c>
      <c r="Z40" s="27">
        <v>8.3949999999999996</v>
      </c>
      <c r="AA40" s="27">
        <v>6.8425000000000002</v>
      </c>
      <c r="AB40" s="27">
        <v>2.9324999999999997</v>
      </c>
      <c r="AC40" s="27">
        <v>17.25</v>
      </c>
      <c r="AD40" s="27">
        <v>39.1</v>
      </c>
      <c r="AE40" s="27">
        <v>51.174999999999997</v>
      </c>
      <c r="AF40" s="27">
        <v>0</v>
      </c>
      <c r="AG40" s="27">
        <v>9.1999999999999993</v>
      </c>
      <c r="AH40" s="27">
        <v>32.15</v>
      </c>
      <c r="AI40" s="40">
        <v>27.6</v>
      </c>
    </row>
    <row r="41" spans="1:35">
      <c r="A41" s="39" t="s">
        <v>90</v>
      </c>
      <c r="B41" s="6" t="s">
        <v>94</v>
      </c>
      <c r="C41" s="3" t="s">
        <v>9</v>
      </c>
      <c r="D41" s="7" t="s">
        <v>95</v>
      </c>
      <c r="E41" s="1" t="s">
        <v>11</v>
      </c>
      <c r="F41" s="1" t="s">
        <v>12</v>
      </c>
      <c r="G41" s="1">
        <v>4</v>
      </c>
      <c r="H41" s="5">
        <v>1</v>
      </c>
      <c r="I41" s="21"/>
      <c r="J41" s="21"/>
      <c r="K41" s="1">
        <v>2</v>
      </c>
      <c r="L41" s="1"/>
      <c r="M41" s="1">
        <v>2</v>
      </c>
      <c r="N41" s="1"/>
      <c r="O41" s="1"/>
      <c r="P41" s="5"/>
      <c r="Q41" s="5"/>
      <c r="R41" s="5"/>
      <c r="S41" s="5"/>
      <c r="T41" s="5"/>
      <c r="U41" s="5"/>
      <c r="V41" s="5"/>
      <c r="W41" s="5">
        <v>2</v>
      </c>
      <c r="X41" s="5"/>
      <c r="Y41" s="26">
        <f t="shared" si="0"/>
        <v>2</v>
      </c>
      <c r="Z41" s="27">
        <v>12.65</v>
      </c>
      <c r="AA41" s="27">
        <v>6.8425000000000002</v>
      </c>
      <c r="AB41" s="27">
        <v>2.9324999999999997</v>
      </c>
      <c r="AC41" s="27">
        <v>17.25</v>
      </c>
      <c r="AD41" s="27">
        <v>29.324999999999999</v>
      </c>
      <c r="AE41" s="27">
        <v>60.26</v>
      </c>
      <c r="AF41" s="27">
        <v>0</v>
      </c>
      <c r="AG41" s="27">
        <v>9.1999999999999993</v>
      </c>
      <c r="AH41" s="27">
        <v>32.15</v>
      </c>
      <c r="AI41" s="40">
        <v>22.8</v>
      </c>
    </row>
    <row r="42" spans="1:35">
      <c r="A42" s="39" t="s">
        <v>90</v>
      </c>
      <c r="B42" s="9" t="s">
        <v>96</v>
      </c>
      <c r="C42" s="3" t="s">
        <v>9</v>
      </c>
      <c r="D42" s="7">
        <v>3534</v>
      </c>
      <c r="E42" s="1" t="s">
        <v>11</v>
      </c>
      <c r="F42" s="1" t="s">
        <v>12</v>
      </c>
      <c r="G42" s="1">
        <v>6</v>
      </c>
      <c r="H42" s="5">
        <v>1</v>
      </c>
      <c r="I42" s="21"/>
      <c r="J42" s="21"/>
      <c r="K42" s="1">
        <v>2</v>
      </c>
      <c r="L42" s="1"/>
      <c r="M42" s="1">
        <v>2</v>
      </c>
      <c r="N42" s="1"/>
      <c r="O42" s="1"/>
      <c r="P42" s="24"/>
      <c r="Q42" s="24"/>
      <c r="R42" s="24"/>
      <c r="S42" s="24"/>
      <c r="T42" s="24"/>
      <c r="U42" s="24"/>
      <c r="V42" s="24"/>
      <c r="W42" s="24"/>
      <c r="X42" s="24"/>
      <c r="Y42" s="26">
        <f t="shared" si="0"/>
        <v>0</v>
      </c>
      <c r="Z42" s="27">
        <v>9.7750000000000004</v>
      </c>
      <c r="AA42" s="27">
        <v>8.7974999999999994</v>
      </c>
      <c r="AB42" s="27">
        <v>2.9324999999999997</v>
      </c>
      <c r="AC42" s="27">
        <v>20.700000000000003</v>
      </c>
      <c r="AD42" s="27">
        <v>19.55</v>
      </c>
      <c r="AE42" s="27">
        <v>72.45</v>
      </c>
      <c r="AF42" s="27">
        <v>0</v>
      </c>
      <c r="AG42" s="27">
        <v>9.1999999999999993</v>
      </c>
      <c r="AH42" s="27">
        <v>33.35</v>
      </c>
      <c r="AI42" s="40">
        <v>78</v>
      </c>
    </row>
    <row r="43" spans="1:35">
      <c r="A43" s="39" t="s">
        <v>90</v>
      </c>
      <c r="B43" s="9" t="s">
        <v>97</v>
      </c>
      <c r="C43" s="3" t="s">
        <v>9</v>
      </c>
      <c r="D43" s="7" t="s">
        <v>98</v>
      </c>
      <c r="E43" s="1" t="s">
        <v>36</v>
      </c>
      <c r="F43" s="1" t="s">
        <v>12</v>
      </c>
      <c r="G43" s="1">
        <v>60</v>
      </c>
      <c r="H43" s="5">
        <v>1</v>
      </c>
      <c r="I43" s="21"/>
      <c r="J43" s="21"/>
      <c r="K43" s="1">
        <v>15</v>
      </c>
      <c r="L43" s="1">
        <v>2</v>
      </c>
      <c r="M43" s="1">
        <v>2</v>
      </c>
      <c r="N43" s="1"/>
      <c r="O43" s="1"/>
      <c r="P43" s="5"/>
      <c r="Q43" s="5"/>
      <c r="R43" s="5">
        <v>2</v>
      </c>
      <c r="S43" s="5"/>
      <c r="T43" s="5"/>
      <c r="U43" s="5"/>
      <c r="V43" s="5"/>
      <c r="W43" s="5">
        <v>4</v>
      </c>
      <c r="X43" s="5">
        <v>1</v>
      </c>
      <c r="Y43" s="26">
        <f t="shared" si="0"/>
        <v>6</v>
      </c>
      <c r="Z43" s="27">
        <v>9.7750000000000004</v>
      </c>
      <c r="AA43" s="27">
        <v>6.8425000000000002</v>
      </c>
      <c r="AB43" s="27">
        <v>2.9324999999999997</v>
      </c>
      <c r="AC43" s="27">
        <v>17.25</v>
      </c>
      <c r="AD43" s="27">
        <v>29.324999999999999</v>
      </c>
      <c r="AE43" s="27">
        <v>55.2</v>
      </c>
      <c r="AF43" s="27">
        <v>0</v>
      </c>
      <c r="AG43" s="27">
        <v>9.1999999999999993</v>
      </c>
      <c r="AH43" s="27">
        <v>32.15</v>
      </c>
      <c r="AI43" s="40">
        <v>21.6</v>
      </c>
    </row>
    <row r="44" spans="1:35">
      <c r="A44" s="39" t="s">
        <v>90</v>
      </c>
      <c r="B44" s="6" t="s">
        <v>99</v>
      </c>
      <c r="C44" s="3" t="s">
        <v>9</v>
      </c>
      <c r="D44" s="7" t="s">
        <v>100</v>
      </c>
      <c r="E44" s="1" t="s">
        <v>11</v>
      </c>
      <c r="F44" s="1" t="s">
        <v>12</v>
      </c>
      <c r="G44" s="1">
        <v>8</v>
      </c>
      <c r="H44" s="5">
        <v>1</v>
      </c>
      <c r="I44" s="21"/>
      <c r="J44" s="21"/>
      <c r="K44" s="1">
        <v>2</v>
      </c>
      <c r="L44" s="1">
        <v>1</v>
      </c>
      <c r="M44" s="1">
        <v>2</v>
      </c>
      <c r="N44" s="1"/>
      <c r="O44" s="1"/>
      <c r="P44" s="24"/>
      <c r="Q44" s="24"/>
      <c r="R44" s="24"/>
      <c r="S44" s="24"/>
      <c r="T44" s="24"/>
      <c r="U44" s="24"/>
      <c r="V44" s="24"/>
      <c r="W44" s="24">
        <v>6</v>
      </c>
      <c r="X44" s="24"/>
      <c r="Y44" s="26">
        <f t="shared" si="0"/>
        <v>6</v>
      </c>
      <c r="Z44" s="27">
        <v>9.7750000000000004</v>
      </c>
      <c r="AA44" s="27">
        <v>6.8425000000000002</v>
      </c>
      <c r="AB44" s="27">
        <v>2.9324999999999997</v>
      </c>
      <c r="AC44" s="27">
        <v>17.25</v>
      </c>
      <c r="AD44" s="27">
        <v>0</v>
      </c>
      <c r="AE44" s="27">
        <v>67.849999999999994</v>
      </c>
      <c r="AF44" s="27">
        <v>0</v>
      </c>
      <c r="AG44" s="27">
        <v>9.1999999999999993</v>
      </c>
      <c r="AH44" s="27">
        <v>32.15</v>
      </c>
      <c r="AI44" s="40">
        <v>22.8</v>
      </c>
    </row>
    <row r="45" spans="1:35">
      <c r="A45" s="39" t="s">
        <v>90</v>
      </c>
      <c r="B45" s="8" t="s">
        <v>101</v>
      </c>
      <c r="C45" s="3" t="s">
        <v>9</v>
      </c>
      <c r="D45" s="7" t="s">
        <v>102</v>
      </c>
      <c r="E45" s="1" t="s">
        <v>11</v>
      </c>
      <c r="F45" s="1" t="s">
        <v>23</v>
      </c>
      <c r="G45" s="1">
        <v>1</v>
      </c>
      <c r="H45" s="5">
        <v>1</v>
      </c>
      <c r="I45" s="21"/>
      <c r="J45" s="21"/>
      <c r="K45" s="1"/>
      <c r="L45" s="1"/>
      <c r="M45" s="1"/>
      <c r="N45" s="1"/>
      <c r="O45" s="1"/>
      <c r="P45" s="5"/>
      <c r="Q45" s="5"/>
      <c r="R45" s="5"/>
      <c r="S45" s="5"/>
      <c r="T45" s="5"/>
      <c r="U45" s="5"/>
      <c r="V45" s="5"/>
      <c r="W45" s="5"/>
      <c r="X45" s="5"/>
      <c r="Y45" s="26">
        <f t="shared" si="0"/>
        <v>0</v>
      </c>
      <c r="Z45" s="27">
        <v>9.7750000000000004</v>
      </c>
      <c r="AA45" s="27">
        <v>6.8425000000000002</v>
      </c>
      <c r="AB45" s="27">
        <v>2.9324999999999997</v>
      </c>
      <c r="AC45" s="27">
        <v>17.25</v>
      </c>
      <c r="AD45" s="27">
        <v>0</v>
      </c>
      <c r="AE45" s="27">
        <v>67.849999999999994</v>
      </c>
      <c r="AF45" s="27">
        <v>0</v>
      </c>
      <c r="AG45" s="27">
        <v>9.1999999999999993</v>
      </c>
      <c r="AH45" s="27">
        <v>32.15</v>
      </c>
      <c r="AI45" s="40">
        <v>22.8</v>
      </c>
    </row>
    <row r="46" spans="1:35">
      <c r="A46" s="39" t="s">
        <v>90</v>
      </c>
      <c r="B46" s="8" t="s">
        <v>103</v>
      </c>
      <c r="C46" s="3" t="s">
        <v>9</v>
      </c>
      <c r="D46" s="7" t="s">
        <v>100</v>
      </c>
      <c r="E46" s="1" t="s">
        <v>28</v>
      </c>
      <c r="F46" s="1" t="s">
        <v>12</v>
      </c>
      <c r="G46" s="1">
        <v>20</v>
      </c>
      <c r="H46" s="5">
        <v>1</v>
      </c>
      <c r="I46" s="21"/>
      <c r="J46" s="21"/>
      <c r="K46" s="1">
        <v>8</v>
      </c>
      <c r="L46" s="1"/>
      <c r="M46" s="1">
        <v>2</v>
      </c>
      <c r="N46" s="1"/>
      <c r="O46" s="1"/>
      <c r="P46" s="24"/>
      <c r="Q46" s="24"/>
      <c r="R46" s="24"/>
      <c r="S46" s="24"/>
      <c r="T46" s="24"/>
      <c r="U46" s="24">
        <v>2</v>
      </c>
      <c r="V46" s="24"/>
      <c r="W46" s="24">
        <v>5</v>
      </c>
      <c r="X46" s="24">
        <v>1</v>
      </c>
      <c r="Y46" s="26">
        <f t="shared" si="0"/>
        <v>7</v>
      </c>
      <c r="Z46" s="27">
        <v>8.3949999999999996</v>
      </c>
      <c r="AA46" s="27">
        <v>6.8425000000000002</v>
      </c>
      <c r="AB46" s="27">
        <v>2.9324999999999997</v>
      </c>
      <c r="AC46" s="27">
        <v>17.25</v>
      </c>
      <c r="AD46" s="27">
        <v>18.399999999999999</v>
      </c>
      <c r="AE46" s="27">
        <v>51.75</v>
      </c>
      <c r="AF46" s="27">
        <v>0</v>
      </c>
      <c r="AG46" s="27">
        <v>9.1999999999999993</v>
      </c>
      <c r="AH46" s="27">
        <v>32.15</v>
      </c>
      <c r="AI46" s="40">
        <v>22.8</v>
      </c>
    </row>
    <row r="47" spans="1:35">
      <c r="A47" s="39" t="s">
        <v>90</v>
      </c>
      <c r="B47" s="8" t="s">
        <v>104</v>
      </c>
      <c r="C47" s="3" t="s">
        <v>9</v>
      </c>
      <c r="D47" s="7" t="s">
        <v>20</v>
      </c>
      <c r="E47" s="1" t="s">
        <v>11</v>
      </c>
      <c r="F47" s="1" t="s">
        <v>12</v>
      </c>
      <c r="G47" s="1">
        <v>8</v>
      </c>
      <c r="H47" s="5">
        <v>1</v>
      </c>
      <c r="I47" s="21"/>
      <c r="J47" s="21"/>
      <c r="K47" s="1"/>
      <c r="L47" s="1"/>
      <c r="M47" s="1">
        <v>2</v>
      </c>
      <c r="N47" s="1"/>
      <c r="O47" s="1"/>
      <c r="P47" s="5"/>
      <c r="Q47" s="5"/>
      <c r="R47" s="5"/>
      <c r="S47" s="5"/>
      <c r="T47" s="5"/>
      <c r="U47" s="5">
        <v>3</v>
      </c>
      <c r="V47" s="5"/>
      <c r="W47" s="5">
        <v>2</v>
      </c>
      <c r="X47" s="5"/>
      <c r="Y47" s="26">
        <f t="shared" si="0"/>
        <v>5</v>
      </c>
      <c r="Z47" s="27">
        <v>8.3949999999999996</v>
      </c>
      <c r="AA47" s="27">
        <v>6.8425000000000002</v>
      </c>
      <c r="AB47" s="27">
        <v>2.9324999999999997</v>
      </c>
      <c r="AC47" s="27">
        <v>17.25</v>
      </c>
      <c r="AD47" s="27">
        <v>39.1</v>
      </c>
      <c r="AE47" s="27">
        <v>51.174999999999997</v>
      </c>
      <c r="AF47" s="27">
        <v>0</v>
      </c>
      <c r="AG47" s="27">
        <v>9.1999999999999993</v>
      </c>
      <c r="AH47" s="27">
        <v>32.15</v>
      </c>
      <c r="AI47" s="40">
        <v>33.6</v>
      </c>
    </row>
    <row r="48" spans="1:35">
      <c r="A48" s="39" t="s">
        <v>90</v>
      </c>
      <c r="B48" s="8" t="s">
        <v>105</v>
      </c>
      <c r="C48" s="3" t="s">
        <v>9</v>
      </c>
      <c r="D48" s="7">
        <v>5289</v>
      </c>
      <c r="E48" s="1" t="s">
        <v>36</v>
      </c>
      <c r="F48" s="1" t="s">
        <v>12</v>
      </c>
      <c r="G48" s="1">
        <v>60</v>
      </c>
      <c r="H48" s="5">
        <v>1</v>
      </c>
      <c r="I48" s="21"/>
      <c r="J48" s="21"/>
      <c r="K48" s="1">
        <v>15</v>
      </c>
      <c r="L48" s="1">
        <v>1</v>
      </c>
      <c r="M48" s="1">
        <v>1</v>
      </c>
      <c r="N48" s="1"/>
      <c r="O48" s="1"/>
      <c r="P48" s="24"/>
      <c r="Q48" s="24"/>
      <c r="R48" s="24">
        <v>4</v>
      </c>
      <c r="S48" s="24">
        <v>2</v>
      </c>
      <c r="T48" s="24">
        <v>1</v>
      </c>
      <c r="U48" s="24">
        <v>1</v>
      </c>
      <c r="V48" s="24"/>
      <c r="W48" s="24">
        <v>3</v>
      </c>
      <c r="X48" s="24"/>
      <c r="Y48" s="26">
        <f t="shared" si="0"/>
        <v>11</v>
      </c>
      <c r="Z48" s="27">
        <v>8.3949999999999996</v>
      </c>
      <c r="AA48" s="27">
        <v>6.8425000000000002</v>
      </c>
      <c r="AB48" s="27">
        <v>2.9324999999999997</v>
      </c>
      <c r="AC48" s="27">
        <v>17.25</v>
      </c>
      <c r="AD48" s="27">
        <v>39.1</v>
      </c>
      <c r="AE48" s="27">
        <v>49.45</v>
      </c>
      <c r="AF48" s="27">
        <v>0</v>
      </c>
      <c r="AG48" s="27">
        <v>9.1999999999999993</v>
      </c>
      <c r="AH48" s="27">
        <v>32.15</v>
      </c>
      <c r="AI48" s="40">
        <v>22.8</v>
      </c>
    </row>
    <row r="49" spans="1:35">
      <c r="A49" s="39" t="s">
        <v>90</v>
      </c>
      <c r="B49" s="8" t="s">
        <v>106</v>
      </c>
      <c r="C49" s="3" t="s">
        <v>9</v>
      </c>
      <c r="D49" s="7" t="s">
        <v>102</v>
      </c>
      <c r="E49" s="1" t="s">
        <v>11</v>
      </c>
      <c r="F49" s="1" t="s">
        <v>12</v>
      </c>
      <c r="G49" s="1">
        <v>2</v>
      </c>
      <c r="H49" s="5">
        <v>1</v>
      </c>
      <c r="I49" s="21"/>
      <c r="J49" s="21"/>
      <c r="K49" s="1"/>
      <c r="L49" s="1">
        <v>2</v>
      </c>
      <c r="M49" s="1">
        <v>3</v>
      </c>
      <c r="N49" s="1"/>
      <c r="O49" s="1"/>
      <c r="P49" s="5"/>
      <c r="Q49" s="5">
        <v>1</v>
      </c>
      <c r="R49" s="5"/>
      <c r="S49" s="5"/>
      <c r="T49" s="5"/>
      <c r="U49" s="5">
        <v>1</v>
      </c>
      <c r="V49" s="5"/>
      <c r="W49" s="5">
        <v>1</v>
      </c>
      <c r="X49" s="5"/>
      <c r="Y49" s="26">
        <f t="shared" si="0"/>
        <v>3</v>
      </c>
      <c r="Z49" s="27">
        <v>12.65</v>
      </c>
      <c r="AA49" s="27">
        <v>6.8425000000000002</v>
      </c>
      <c r="AB49" s="27">
        <v>2.9324999999999997</v>
      </c>
      <c r="AC49" s="27">
        <v>17.25</v>
      </c>
      <c r="AD49" s="27">
        <v>39.1</v>
      </c>
      <c r="AE49" s="27">
        <v>78.2</v>
      </c>
      <c r="AF49" s="27">
        <v>0</v>
      </c>
      <c r="AG49" s="27">
        <v>9.1999999999999993</v>
      </c>
      <c r="AH49" s="27">
        <v>32.15</v>
      </c>
      <c r="AI49" s="40">
        <v>22.8</v>
      </c>
    </row>
    <row r="50" spans="1:35">
      <c r="A50" s="39" t="s">
        <v>90</v>
      </c>
      <c r="B50" s="19" t="s">
        <v>107</v>
      </c>
      <c r="C50" s="3" t="s">
        <v>9</v>
      </c>
      <c r="D50" s="12" t="s">
        <v>108</v>
      </c>
      <c r="E50" s="13" t="s">
        <v>109</v>
      </c>
      <c r="F50" s="13" t="s">
        <v>23</v>
      </c>
      <c r="G50" s="13">
        <v>10</v>
      </c>
      <c r="H50" s="5">
        <v>1</v>
      </c>
      <c r="I50" s="23"/>
      <c r="J50" s="23"/>
      <c r="K50" s="13">
        <v>2</v>
      </c>
      <c r="L50" s="13">
        <v>7</v>
      </c>
      <c r="M50" s="13"/>
      <c r="N50" s="13"/>
      <c r="O50" s="13"/>
      <c r="P50" s="24"/>
      <c r="Q50" s="24"/>
      <c r="R50" s="24"/>
      <c r="S50" s="24">
        <v>2</v>
      </c>
      <c r="T50" s="24"/>
      <c r="U50" s="24"/>
      <c r="V50" s="24"/>
      <c r="W50" s="24">
        <v>1</v>
      </c>
      <c r="X50" s="25">
        <v>2</v>
      </c>
      <c r="Y50" s="26">
        <f t="shared" si="0"/>
        <v>3</v>
      </c>
      <c r="Z50" s="27">
        <v>9.7750000000000004</v>
      </c>
      <c r="AA50" s="27">
        <v>6.8425000000000002</v>
      </c>
      <c r="AB50" s="27">
        <v>2.9324999999999997</v>
      </c>
      <c r="AC50" s="27">
        <v>17.25</v>
      </c>
      <c r="AD50" s="27">
        <v>39.1</v>
      </c>
      <c r="AE50" s="27">
        <v>74.75</v>
      </c>
      <c r="AF50" s="27">
        <v>0</v>
      </c>
      <c r="AG50" s="27">
        <v>9.1999999999999993</v>
      </c>
      <c r="AH50" s="27">
        <v>32.15</v>
      </c>
      <c r="AI50" s="40">
        <v>33.6</v>
      </c>
    </row>
    <row r="51" spans="1:35">
      <c r="A51" s="39" t="s">
        <v>90</v>
      </c>
      <c r="B51" s="8" t="s">
        <v>110</v>
      </c>
      <c r="C51" s="3" t="s">
        <v>9</v>
      </c>
      <c r="D51" s="7" t="s">
        <v>111</v>
      </c>
      <c r="E51" s="1" t="s">
        <v>109</v>
      </c>
      <c r="F51" s="1" t="s">
        <v>23</v>
      </c>
      <c r="G51" s="1">
        <v>10</v>
      </c>
      <c r="H51" s="5">
        <v>3</v>
      </c>
      <c r="I51" s="21"/>
      <c r="J51" s="21"/>
      <c r="K51" s="1">
        <v>2</v>
      </c>
      <c r="L51" s="1">
        <v>4</v>
      </c>
      <c r="M51" s="1"/>
      <c r="N51" s="1"/>
      <c r="O51" s="1"/>
      <c r="P51" s="5"/>
      <c r="Q51" s="5"/>
      <c r="R51" s="5"/>
      <c r="S51" s="5"/>
      <c r="T51" s="5"/>
      <c r="U51" s="5"/>
      <c r="V51" s="5"/>
      <c r="W51" s="5"/>
      <c r="X51" s="5"/>
      <c r="Y51" s="26">
        <f t="shared" si="0"/>
        <v>0</v>
      </c>
      <c r="Z51" s="27">
        <v>9.7750000000000004</v>
      </c>
      <c r="AA51" s="27">
        <v>6.8425000000000002</v>
      </c>
      <c r="AB51" s="27">
        <v>4.8875000000000002</v>
      </c>
      <c r="AC51" s="27">
        <v>16.100000000000001</v>
      </c>
      <c r="AD51" s="27">
        <v>48.875</v>
      </c>
      <c r="AE51" s="27">
        <v>134.55000000000001</v>
      </c>
      <c r="AF51" s="27">
        <v>0</v>
      </c>
      <c r="AG51" s="27">
        <v>9.1999999999999993</v>
      </c>
      <c r="AH51" s="27">
        <v>36.950000000000003</v>
      </c>
      <c r="AI51" s="40">
        <v>21.6</v>
      </c>
    </row>
    <row r="52" spans="1:35">
      <c r="A52" s="39" t="s">
        <v>90</v>
      </c>
      <c r="B52" s="8" t="s">
        <v>112</v>
      </c>
      <c r="C52" s="3" t="s">
        <v>9</v>
      </c>
      <c r="D52" s="7" t="s">
        <v>102</v>
      </c>
      <c r="E52" s="1" t="s">
        <v>11</v>
      </c>
      <c r="F52" s="1" t="s">
        <v>12</v>
      </c>
      <c r="G52" s="1">
        <v>2</v>
      </c>
      <c r="H52" s="5">
        <v>3</v>
      </c>
      <c r="I52" s="21"/>
      <c r="J52" s="21"/>
      <c r="K52" s="1">
        <v>1</v>
      </c>
      <c r="L52" s="1"/>
      <c r="M52" s="1">
        <v>2</v>
      </c>
      <c r="N52" s="1"/>
      <c r="O52" s="1"/>
      <c r="P52" s="24"/>
      <c r="Q52" s="24"/>
      <c r="R52" s="24"/>
      <c r="S52" s="24"/>
      <c r="T52" s="24"/>
      <c r="U52" s="24"/>
      <c r="V52" s="24"/>
      <c r="W52" s="24"/>
      <c r="X52" s="24"/>
      <c r="Y52" s="26">
        <f t="shared" si="0"/>
        <v>0</v>
      </c>
      <c r="Z52" s="27">
        <v>9.7750000000000004</v>
      </c>
      <c r="AA52" s="27">
        <v>6.8425000000000002</v>
      </c>
      <c r="AB52" s="27">
        <v>4.8875000000000002</v>
      </c>
      <c r="AC52" s="27">
        <v>16.100000000000001</v>
      </c>
      <c r="AD52" s="27">
        <v>48.875</v>
      </c>
      <c r="AE52" s="27">
        <v>134.55000000000001</v>
      </c>
      <c r="AF52" s="27">
        <v>0</v>
      </c>
      <c r="AG52" s="27">
        <v>9.1999999999999993</v>
      </c>
      <c r="AH52" s="27">
        <v>36.950000000000003</v>
      </c>
      <c r="AI52" s="40">
        <v>22.8</v>
      </c>
    </row>
    <row r="53" spans="1:35">
      <c r="A53" s="39" t="s">
        <v>90</v>
      </c>
      <c r="B53" s="8" t="s">
        <v>113</v>
      </c>
      <c r="C53" s="3" t="s">
        <v>9</v>
      </c>
      <c r="D53" s="7">
        <v>5542</v>
      </c>
      <c r="E53" s="1" t="s">
        <v>11</v>
      </c>
      <c r="F53" s="1" t="s">
        <v>23</v>
      </c>
      <c r="G53" s="1">
        <v>6</v>
      </c>
      <c r="H53" s="5">
        <v>3</v>
      </c>
      <c r="I53" s="21"/>
      <c r="J53" s="21"/>
      <c r="K53" s="1"/>
      <c r="L53" s="1">
        <v>7</v>
      </c>
      <c r="M53" s="1"/>
      <c r="N53" s="1"/>
      <c r="O53" s="1"/>
      <c r="P53" s="5"/>
      <c r="Q53" s="5"/>
      <c r="R53" s="5"/>
      <c r="S53" s="5"/>
      <c r="T53" s="5"/>
      <c r="U53" s="5"/>
      <c r="V53" s="5"/>
      <c r="W53" s="5"/>
      <c r="X53" s="5">
        <v>2</v>
      </c>
      <c r="Y53" s="26">
        <f t="shared" si="0"/>
        <v>0</v>
      </c>
      <c r="Z53" s="27">
        <v>9.7750000000000004</v>
      </c>
      <c r="AA53" s="27">
        <v>6.8425000000000002</v>
      </c>
      <c r="AB53" s="27">
        <v>4.8875000000000002</v>
      </c>
      <c r="AC53" s="27">
        <v>16.100000000000001</v>
      </c>
      <c r="AD53" s="27">
        <v>48.875</v>
      </c>
      <c r="AE53" s="27">
        <v>134.55000000000001</v>
      </c>
      <c r="AF53" s="27">
        <v>0</v>
      </c>
      <c r="AG53" s="27">
        <v>9.1999999999999993</v>
      </c>
      <c r="AH53" s="27">
        <v>36.950000000000003</v>
      </c>
      <c r="AI53" s="40">
        <v>22.8</v>
      </c>
    </row>
    <row r="54" spans="1:35">
      <c r="A54" s="39" t="s">
        <v>114</v>
      </c>
      <c r="B54" s="9" t="s">
        <v>115</v>
      </c>
      <c r="C54" s="9" t="s">
        <v>9</v>
      </c>
      <c r="D54" s="7" t="s">
        <v>116</v>
      </c>
      <c r="E54" s="1" t="s">
        <v>28</v>
      </c>
      <c r="F54" s="1" t="s">
        <v>23</v>
      </c>
      <c r="G54" s="1">
        <v>25</v>
      </c>
      <c r="H54" s="5">
        <v>3</v>
      </c>
      <c r="I54" s="21"/>
      <c r="J54" s="21"/>
      <c r="K54" s="1">
        <v>25</v>
      </c>
      <c r="L54" s="1">
        <v>50</v>
      </c>
      <c r="M54" s="1"/>
      <c r="N54" s="1"/>
      <c r="O54" s="1"/>
      <c r="P54" s="24"/>
      <c r="Q54" s="24">
        <v>10</v>
      </c>
      <c r="R54" s="24"/>
      <c r="S54" s="24"/>
      <c r="T54" s="24"/>
      <c r="U54" s="24">
        <v>9</v>
      </c>
      <c r="V54" s="24"/>
      <c r="W54" s="24">
        <v>5</v>
      </c>
      <c r="X54" s="24">
        <v>10</v>
      </c>
      <c r="Y54" s="26">
        <f t="shared" si="0"/>
        <v>24</v>
      </c>
      <c r="Z54" s="27">
        <v>10</v>
      </c>
      <c r="AA54" s="27">
        <v>21.504999999999999</v>
      </c>
      <c r="AB54" s="27">
        <v>0</v>
      </c>
      <c r="AC54" s="27">
        <v>12.742000000000001</v>
      </c>
      <c r="AD54" s="27">
        <v>43.987499999999997</v>
      </c>
      <c r="AE54" s="27">
        <v>85.1</v>
      </c>
      <c r="AF54" s="27">
        <v>0</v>
      </c>
      <c r="AG54" s="27">
        <v>9.1999999999999993</v>
      </c>
      <c r="AH54" s="27">
        <v>28.549999999999997</v>
      </c>
      <c r="AI54" s="40">
        <v>33.6</v>
      </c>
    </row>
    <row r="55" spans="1:35">
      <c r="A55" s="45" t="s">
        <v>114</v>
      </c>
      <c r="B55" s="31" t="s">
        <v>117</v>
      </c>
      <c r="C55" s="31" t="s">
        <v>9</v>
      </c>
      <c r="D55" s="46" t="s">
        <v>118</v>
      </c>
      <c r="E55" s="47" t="s">
        <v>28</v>
      </c>
      <c r="F55" s="47" t="s">
        <v>23</v>
      </c>
      <c r="G55" s="47">
        <v>25</v>
      </c>
      <c r="H55" s="32">
        <v>3</v>
      </c>
      <c r="I55" s="48"/>
      <c r="J55" s="48"/>
      <c r="K55" s="47">
        <v>25</v>
      </c>
      <c r="L55" s="47">
        <v>50</v>
      </c>
      <c r="M55" s="47"/>
      <c r="N55" s="47"/>
      <c r="O55" s="47"/>
      <c r="P55" s="32"/>
      <c r="Q55" s="32">
        <v>5</v>
      </c>
      <c r="R55" s="32"/>
      <c r="S55" s="32"/>
      <c r="T55" s="32"/>
      <c r="U55" s="32"/>
      <c r="V55" s="32"/>
      <c r="W55" s="32">
        <v>6</v>
      </c>
      <c r="X55" s="32">
        <v>12</v>
      </c>
      <c r="Y55" s="33">
        <f t="shared" si="0"/>
        <v>11</v>
      </c>
      <c r="Z55" s="49">
        <v>10</v>
      </c>
      <c r="AA55" s="49">
        <v>21.504999999999999</v>
      </c>
      <c r="AB55" s="49">
        <v>0</v>
      </c>
      <c r="AC55" s="49">
        <v>12.742000000000001</v>
      </c>
      <c r="AD55" s="49">
        <v>43.987499999999997</v>
      </c>
      <c r="AE55" s="49">
        <v>85.1</v>
      </c>
      <c r="AF55" s="49">
        <v>20</v>
      </c>
      <c r="AG55" s="49">
        <v>9.1999999999999993</v>
      </c>
      <c r="AH55" s="49">
        <v>28.549999999999997</v>
      </c>
      <c r="AI55" s="50">
        <v>21.6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05ED4-0BD9-441F-BAF6-3C249614DC77}">
  <dimension ref="A1:M55"/>
  <sheetViews>
    <sheetView workbookViewId="0">
      <selection activeCell="H10" sqref="H10"/>
    </sheetView>
  </sheetViews>
  <sheetFormatPr defaultRowHeight="14.5"/>
  <cols>
    <col min="1" max="1" width="12.54296875" customWidth="1"/>
    <col min="2" max="2" width="11.6328125" customWidth="1"/>
    <col min="3" max="3" width="11.26953125" customWidth="1"/>
    <col min="4" max="4" width="16.453125" customWidth="1"/>
    <col min="5" max="5" width="14.36328125" customWidth="1"/>
    <col min="6" max="6" width="12.6328125" customWidth="1"/>
    <col min="7" max="7" width="14.26953125" customWidth="1"/>
    <col min="8" max="8" width="15.6328125" customWidth="1"/>
    <col min="9" max="9" width="5.6328125" customWidth="1"/>
    <col min="10" max="10" width="10.36328125" customWidth="1"/>
    <col min="11" max="11" width="10" customWidth="1"/>
    <col min="12" max="12" width="15.54296875" customWidth="1"/>
    <col min="13" max="13" width="12.08984375" customWidth="1"/>
  </cols>
  <sheetData>
    <row r="1" spans="1:13">
      <c r="A1" s="28" t="s">
        <v>1</v>
      </c>
      <c r="B1" s="29" t="s">
        <v>122</v>
      </c>
      <c r="C1" s="29" t="s">
        <v>123</v>
      </c>
      <c r="D1" s="29" t="s">
        <v>124</v>
      </c>
      <c r="E1" s="29" t="s">
        <v>125</v>
      </c>
      <c r="F1" s="29" t="s">
        <v>126</v>
      </c>
      <c r="G1" s="29" t="s">
        <v>127</v>
      </c>
      <c r="H1" s="29" t="s">
        <v>128</v>
      </c>
      <c r="I1" s="29" t="s">
        <v>129</v>
      </c>
      <c r="J1" s="29" t="s">
        <v>130</v>
      </c>
      <c r="K1" s="29" t="s">
        <v>131</v>
      </c>
      <c r="L1" s="29" t="s">
        <v>145</v>
      </c>
      <c r="M1" s="30" t="s">
        <v>144</v>
      </c>
    </row>
    <row r="2" spans="1:13">
      <c r="A2" s="51" t="s">
        <v>34</v>
      </c>
      <c r="B2" s="34"/>
      <c r="C2" s="34"/>
      <c r="D2" s="34"/>
      <c r="E2" s="34"/>
      <c r="F2" s="34"/>
      <c r="G2" s="34"/>
      <c r="H2" s="34"/>
      <c r="I2" s="34"/>
      <c r="J2" s="35"/>
      <c r="K2" s="53"/>
      <c r="L2" s="53"/>
      <c r="M2" s="54"/>
    </row>
    <row r="3" spans="1:13">
      <c r="A3" s="52" t="s">
        <v>41</v>
      </c>
      <c r="B3" s="35"/>
      <c r="C3" s="35"/>
      <c r="D3" s="35"/>
      <c r="E3" s="35"/>
      <c r="F3" s="35"/>
      <c r="G3" s="35"/>
      <c r="H3" s="35"/>
      <c r="I3" s="35"/>
      <c r="J3" s="35"/>
      <c r="K3" s="53"/>
      <c r="L3" s="53"/>
      <c r="M3" s="54"/>
    </row>
    <row r="4" spans="1:13">
      <c r="A4" s="52" t="s">
        <v>43</v>
      </c>
      <c r="B4" s="34"/>
      <c r="C4" s="34"/>
      <c r="D4" s="34"/>
      <c r="E4" s="34"/>
      <c r="F4" s="34"/>
      <c r="G4" s="34"/>
      <c r="H4" s="34"/>
      <c r="I4" s="34"/>
      <c r="J4" s="35"/>
      <c r="K4" s="53"/>
      <c r="L4" s="53"/>
      <c r="M4" s="54"/>
    </row>
    <row r="5" spans="1:13">
      <c r="A5" s="51" t="s">
        <v>45</v>
      </c>
      <c r="B5" s="35"/>
      <c r="C5" s="35"/>
      <c r="D5" s="35"/>
      <c r="E5" s="35"/>
      <c r="F5" s="35"/>
      <c r="G5" s="35"/>
      <c r="H5" s="35"/>
      <c r="I5" s="35"/>
      <c r="J5" s="35"/>
      <c r="K5" s="53"/>
      <c r="L5" s="53"/>
      <c r="M5" s="54"/>
    </row>
    <row r="6" spans="1:13">
      <c r="A6" s="51" t="s">
        <v>53</v>
      </c>
      <c r="B6" s="34"/>
      <c r="C6" s="34"/>
      <c r="D6" s="34"/>
      <c r="E6" s="34"/>
      <c r="F6" s="34"/>
      <c r="G6" s="34"/>
      <c r="H6" s="34"/>
      <c r="I6" s="34"/>
      <c r="J6" s="34"/>
      <c r="K6" s="53"/>
      <c r="L6" s="53"/>
      <c r="M6" s="54"/>
    </row>
    <row r="7" spans="1:13">
      <c r="A7" s="52" t="s">
        <v>55</v>
      </c>
      <c r="B7" s="35"/>
      <c r="C7" s="35"/>
      <c r="D7" s="35"/>
      <c r="E7" s="35"/>
      <c r="F7" s="35"/>
      <c r="G7" s="35"/>
      <c r="H7" s="35"/>
      <c r="I7" s="35"/>
      <c r="J7" s="35"/>
      <c r="K7" s="53"/>
      <c r="L7" s="53"/>
      <c r="M7" s="54"/>
    </row>
    <row r="8" spans="1:13">
      <c r="A8" s="51" t="s">
        <v>49</v>
      </c>
      <c r="B8" s="34"/>
      <c r="C8" s="34"/>
      <c r="D8" s="34"/>
      <c r="E8" s="34"/>
      <c r="F8" s="34"/>
      <c r="G8" s="34"/>
      <c r="H8" s="34"/>
      <c r="I8" s="34"/>
      <c r="J8" s="34"/>
      <c r="K8" s="53"/>
      <c r="L8" s="53"/>
      <c r="M8" s="54"/>
    </row>
    <row r="9" spans="1:13">
      <c r="A9" s="51" t="s">
        <v>37</v>
      </c>
      <c r="B9" s="35"/>
      <c r="C9" s="35"/>
      <c r="D9" s="35"/>
      <c r="E9" s="35"/>
      <c r="F9" s="35"/>
      <c r="G9" s="35"/>
      <c r="H9" s="35"/>
      <c r="I9" s="35"/>
      <c r="J9" s="35"/>
      <c r="K9" s="53"/>
      <c r="L9" s="53"/>
      <c r="M9" s="54"/>
    </row>
    <row r="10" spans="1:13">
      <c r="A10" s="51" t="s">
        <v>47</v>
      </c>
      <c r="B10" s="34"/>
      <c r="C10" s="34"/>
      <c r="D10" s="34"/>
      <c r="E10" s="34"/>
      <c r="F10" s="34"/>
      <c r="G10" s="34"/>
      <c r="H10" s="34"/>
      <c r="I10" s="34"/>
      <c r="J10" s="34"/>
      <c r="K10" s="53"/>
      <c r="L10" s="53"/>
      <c r="M10" s="54"/>
    </row>
    <row r="11" spans="1:13">
      <c r="A11" s="51" t="s">
        <v>51</v>
      </c>
      <c r="B11" s="35"/>
      <c r="C11" s="35"/>
      <c r="D11" s="35"/>
      <c r="E11" s="35"/>
      <c r="F11" s="35"/>
      <c r="G11" s="35"/>
      <c r="H11" s="35"/>
      <c r="I11" s="35"/>
      <c r="J11" s="36"/>
      <c r="K11" s="53"/>
      <c r="L11" s="53"/>
      <c r="M11" s="54"/>
    </row>
    <row r="12" spans="1:13">
      <c r="A12" s="51" t="s">
        <v>59</v>
      </c>
      <c r="B12" s="34"/>
      <c r="C12" s="34"/>
      <c r="D12" s="34"/>
      <c r="E12" s="34"/>
      <c r="F12" s="34"/>
      <c r="G12" s="34"/>
      <c r="H12" s="34"/>
      <c r="I12" s="34"/>
      <c r="J12" s="34"/>
      <c r="K12" s="53"/>
      <c r="L12" s="53"/>
      <c r="M12" s="54"/>
    </row>
    <row r="13" spans="1:13">
      <c r="A13" s="51" t="s">
        <v>19</v>
      </c>
      <c r="B13" s="35"/>
      <c r="C13" s="35"/>
      <c r="D13" s="35"/>
      <c r="E13" s="35"/>
      <c r="F13" s="35"/>
      <c r="G13" s="35"/>
      <c r="H13" s="35"/>
      <c r="I13" s="35"/>
      <c r="J13" s="36"/>
      <c r="K13" s="53"/>
      <c r="L13" s="53"/>
      <c r="M13" s="54"/>
    </row>
    <row r="14" spans="1:13">
      <c r="A14" s="52" t="s">
        <v>13</v>
      </c>
      <c r="B14" s="34"/>
      <c r="C14" s="34"/>
      <c r="D14" s="34"/>
      <c r="E14" s="34"/>
      <c r="F14" s="34"/>
      <c r="G14" s="34"/>
      <c r="H14" s="34"/>
      <c r="I14" s="34"/>
      <c r="J14" s="36"/>
      <c r="K14" s="53"/>
      <c r="L14" s="53"/>
      <c r="M14" s="54"/>
    </row>
    <row r="15" spans="1:13">
      <c r="A15" s="52" t="s">
        <v>15</v>
      </c>
      <c r="B15" s="35"/>
      <c r="C15" s="35"/>
      <c r="D15" s="35"/>
      <c r="E15" s="35"/>
      <c r="F15" s="35"/>
      <c r="G15" s="35"/>
      <c r="H15" s="35"/>
      <c r="I15" s="35"/>
      <c r="J15" s="35"/>
      <c r="K15" s="53"/>
      <c r="L15" s="53"/>
      <c r="M15" s="54"/>
    </row>
    <row r="16" spans="1:13">
      <c r="A16" s="52" t="s">
        <v>57</v>
      </c>
      <c r="B16" s="34"/>
      <c r="C16" s="34"/>
      <c r="D16" s="34"/>
      <c r="E16" s="34"/>
      <c r="F16" s="34"/>
      <c r="G16" s="34"/>
      <c r="H16" s="34"/>
      <c r="I16" s="34"/>
      <c r="J16" s="35"/>
      <c r="K16" s="53"/>
      <c r="L16" s="53"/>
      <c r="M16" s="54"/>
    </row>
    <row r="17" spans="1:13">
      <c r="A17" s="52" t="s">
        <v>8</v>
      </c>
      <c r="B17" s="35"/>
      <c r="C17" s="35"/>
      <c r="D17" s="35"/>
      <c r="E17" s="35"/>
      <c r="F17" s="35"/>
      <c r="G17" s="35"/>
      <c r="H17" s="35"/>
      <c r="I17" s="35"/>
      <c r="J17" s="35"/>
      <c r="K17" s="53"/>
      <c r="L17" s="53"/>
      <c r="M17" s="54"/>
    </row>
    <row r="18" spans="1:13">
      <c r="A18" s="52" t="s">
        <v>17</v>
      </c>
      <c r="B18" s="34"/>
      <c r="C18" s="34"/>
      <c r="D18" s="34"/>
      <c r="E18" s="34"/>
      <c r="F18" s="34"/>
      <c r="G18" s="34"/>
      <c r="H18" s="34"/>
      <c r="I18" s="34"/>
      <c r="J18" s="35"/>
      <c r="K18" s="53"/>
      <c r="L18" s="53"/>
      <c r="M18" s="54"/>
    </row>
    <row r="19" spans="1:13">
      <c r="A19" s="51" t="s">
        <v>21</v>
      </c>
      <c r="B19" s="35"/>
      <c r="C19" s="35"/>
      <c r="D19" s="35"/>
      <c r="E19" s="35"/>
      <c r="F19" s="35"/>
      <c r="G19" s="35"/>
      <c r="H19" s="35"/>
      <c r="I19" s="35"/>
      <c r="J19" s="36"/>
      <c r="K19" s="53"/>
      <c r="L19" s="53"/>
      <c r="M19" s="54"/>
    </row>
    <row r="20" spans="1:13">
      <c r="A20" s="51" t="s">
        <v>39</v>
      </c>
      <c r="B20" s="34"/>
      <c r="C20" s="34"/>
      <c r="D20" s="34"/>
      <c r="E20" s="34"/>
      <c r="F20" s="34"/>
      <c r="G20" s="34"/>
      <c r="H20" s="34"/>
      <c r="I20" s="34"/>
      <c r="J20" s="35"/>
      <c r="K20" s="53"/>
      <c r="L20" s="53"/>
      <c r="M20" s="54"/>
    </row>
    <row r="21" spans="1:13">
      <c r="A21" s="52" t="s">
        <v>97</v>
      </c>
      <c r="B21" s="35"/>
      <c r="C21" s="35"/>
      <c r="D21" s="35"/>
      <c r="E21" s="35"/>
      <c r="F21" s="35"/>
      <c r="G21" s="35"/>
      <c r="H21" s="35"/>
      <c r="I21" s="35"/>
      <c r="J21" s="35"/>
      <c r="K21" s="53"/>
      <c r="L21" s="53"/>
      <c r="M21" s="54"/>
    </row>
    <row r="22" spans="1:13">
      <c r="A22" s="51" t="s">
        <v>99</v>
      </c>
      <c r="B22" s="34"/>
      <c r="C22" s="34"/>
      <c r="D22" s="34"/>
      <c r="E22" s="34"/>
      <c r="F22" s="34"/>
      <c r="G22" s="34"/>
      <c r="H22" s="34"/>
      <c r="I22" s="34"/>
      <c r="J22" s="35"/>
      <c r="K22" s="53"/>
      <c r="L22" s="53"/>
      <c r="M22" s="54"/>
    </row>
    <row r="23" spans="1:13">
      <c r="A23" s="52" t="s">
        <v>93</v>
      </c>
      <c r="B23" s="35"/>
      <c r="C23" s="35"/>
      <c r="D23" s="35"/>
      <c r="E23" s="35"/>
      <c r="F23" s="35"/>
      <c r="G23" s="35"/>
      <c r="H23" s="35"/>
      <c r="I23" s="35"/>
      <c r="J23" s="36"/>
      <c r="K23" s="53"/>
      <c r="L23" s="53"/>
      <c r="M23" s="54"/>
    </row>
    <row r="24" spans="1:13">
      <c r="A24" s="52" t="s">
        <v>96</v>
      </c>
      <c r="B24" s="34"/>
      <c r="C24" s="34"/>
      <c r="D24" s="34"/>
      <c r="E24" s="34"/>
      <c r="F24" s="34"/>
      <c r="G24" s="34"/>
      <c r="H24" s="34"/>
      <c r="I24" s="34"/>
      <c r="J24" s="37"/>
      <c r="K24" s="53"/>
      <c r="L24" s="53"/>
      <c r="M24" s="54"/>
    </row>
    <row r="25" spans="1:13">
      <c r="A25" s="51" t="s">
        <v>94</v>
      </c>
      <c r="B25" s="35"/>
      <c r="C25" s="35"/>
      <c r="D25" s="35"/>
      <c r="E25" s="35"/>
      <c r="F25" s="35"/>
      <c r="G25" s="35"/>
      <c r="H25" s="35"/>
      <c r="I25" s="35"/>
      <c r="J25" s="36"/>
      <c r="K25" s="53"/>
      <c r="L25" s="53"/>
      <c r="M25" s="54"/>
    </row>
    <row r="26" spans="1:13">
      <c r="A26" s="55" t="s">
        <v>105</v>
      </c>
      <c r="B26" s="34"/>
      <c r="C26" s="34"/>
      <c r="D26" s="34"/>
      <c r="E26" s="34"/>
      <c r="F26" s="34"/>
      <c r="G26" s="34"/>
      <c r="H26" s="34"/>
      <c r="I26" s="34"/>
      <c r="J26" s="34"/>
      <c r="K26" s="53"/>
      <c r="L26" s="53"/>
      <c r="M26" s="54"/>
    </row>
    <row r="27" spans="1:13">
      <c r="A27" s="55" t="s">
        <v>103</v>
      </c>
      <c r="B27" s="35"/>
      <c r="C27" s="35"/>
      <c r="D27" s="35"/>
      <c r="E27" s="35"/>
      <c r="F27" s="35"/>
      <c r="G27" s="35"/>
      <c r="H27" s="35"/>
      <c r="I27" s="35"/>
      <c r="J27" s="35"/>
      <c r="K27" s="53"/>
      <c r="L27" s="53"/>
      <c r="M27" s="54"/>
    </row>
    <row r="28" spans="1:13">
      <c r="A28" s="55" t="s">
        <v>112</v>
      </c>
      <c r="B28" s="34"/>
      <c r="C28" s="34"/>
      <c r="D28" s="34"/>
      <c r="E28" s="34"/>
      <c r="F28" s="34"/>
      <c r="G28" s="34"/>
      <c r="H28" s="34"/>
      <c r="I28" s="34"/>
      <c r="J28" s="34"/>
      <c r="K28" s="53"/>
      <c r="L28" s="53"/>
      <c r="M28" s="54"/>
    </row>
    <row r="29" spans="1:13">
      <c r="A29" s="55" t="s">
        <v>63</v>
      </c>
      <c r="B29" s="35"/>
      <c r="C29" s="35"/>
      <c r="D29" s="35"/>
      <c r="E29" s="35"/>
      <c r="F29" s="35"/>
      <c r="G29" s="35"/>
      <c r="H29" s="35"/>
      <c r="I29" s="35"/>
      <c r="J29" s="35"/>
      <c r="K29" s="53"/>
      <c r="L29" s="53"/>
      <c r="M29" s="54"/>
    </row>
    <row r="30" spans="1:13">
      <c r="A30" s="55" t="s">
        <v>113</v>
      </c>
      <c r="B30" s="34"/>
      <c r="C30" s="34"/>
      <c r="D30" s="34"/>
      <c r="E30" s="34"/>
      <c r="F30" s="34"/>
      <c r="G30" s="34"/>
      <c r="H30" s="34"/>
      <c r="I30" s="34"/>
      <c r="J30" s="34"/>
      <c r="K30" s="53"/>
      <c r="L30" s="53"/>
      <c r="M30" s="54"/>
    </row>
    <row r="31" spans="1:13">
      <c r="A31" s="55" t="s">
        <v>110</v>
      </c>
      <c r="B31" s="35"/>
      <c r="C31" s="35"/>
      <c r="D31" s="35"/>
      <c r="E31" s="35"/>
      <c r="F31" s="35"/>
      <c r="G31" s="35"/>
      <c r="H31" s="35"/>
      <c r="I31" s="35"/>
      <c r="J31" s="35"/>
      <c r="K31" s="53"/>
      <c r="L31" s="53"/>
      <c r="M31" s="54"/>
    </row>
    <row r="32" spans="1:13">
      <c r="A32" s="56" t="s">
        <v>107</v>
      </c>
      <c r="B32" s="34"/>
      <c r="C32" s="34"/>
      <c r="D32" s="34"/>
      <c r="E32" s="34"/>
      <c r="F32" s="34"/>
      <c r="G32" s="34"/>
      <c r="H32" s="34"/>
      <c r="I32" s="34"/>
      <c r="J32" s="34"/>
      <c r="K32" s="53"/>
      <c r="L32" s="53"/>
      <c r="M32" s="54"/>
    </row>
    <row r="33" spans="1:13">
      <c r="A33" s="55" t="s">
        <v>106</v>
      </c>
      <c r="B33" s="35"/>
      <c r="C33" s="35"/>
      <c r="D33" s="35"/>
      <c r="E33" s="35"/>
      <c r="F33" s="35"/>
      <c r="G33" s="35"/>
      <c r="H33" s="35"/>
      <c r="I33" s="35"/>
      <c r="J33" s="35"/>
      <c r="K33" s="53"/>
      <c r="L33" s="53"/>
      <c r="M33" s="54"/>
    </row>
    <row r="34" spans="1:13">
      <c r="A34" s="55" t="s">
        <v>104</v>
      </c>
      <c r="B34" s="34"/>
      <c r="C34" s="34"/>
      <c r="D34" s="34"/>
      <c r="E34" s="34"/>
      <c r="F34" s="34"/>
      <c r="G34" s="34"/>
      <c r="H34" s="34"/>
      <c r="I34" s="34"/>
      <c r="J34" s="34"/>
      <c r="K34" s="53"/>
      <c r="L34" s="53"/>
      <c r="M34" s="54"/>
    </row>
    <row r="35" spans="1:13">
      <c r="A35" s="55" t="s">
        <v>61</v>
      </c>
      <c r="B35" s="35"/>
      <c r="C35" s="35"/>
      <c r="D35" s="35"/>
      <c r="E35" s="35"/>
      <c r="F35" s="35"/>
      <c r="G35" s="35"/>
      <c r="H35" s="35"/>
      <c r="I35" s="35"/>
      <c r="J35" s="35"/>
      <c r="K35" s="53"/>
      <c r="L35" s="53"/>
      <c r="M35" s="54"/>
    </row>
    <row r="36" spans="1:13">
      <c r="A36" s="55" t="s">
        <v>91</v>
      </c>
      <c r="B36" s="34"/>
      <c r="C36" s="34"/>
      <c r="D36" s="34"/>
      <c r="E36" s="34"/>
      <c r="F36" s="34"/>
      <c r="G36" s="34"/>
      <c r="H36" s="34"/>
      <c r="I36" s="34"/>
      <c r="J36" s="34"/>
      <c r="K36" s="53"/>
      <c r="L36" s="53"/>
      <c r="M36" s="54"/>
    </row>
    <row r="37" spans="1:13">
      <c r="A37" s="55" t="s">
        <v>101</v>
      </c>
      <c r="B37" s="35"/>
      <c r="C37" s="35"/>
      <c r="D37" s="35"/>
      <c r="E37" s="35"/>
      <c r="F37" s="35"/>
      <c r="G37" s="35"/>
      <c r="H37" s="35"/>
      <c r="I37" s="35"/>
      <c r="J37" s="35"/>
      <c r="K37" s="53"/>
      <c r="L37" s="53"/>
      <c r="M37" s="54"/>
    </row>
    <row r="38" spans="1:13">
      <c r="A38" s="51" t="s">
        <v>68</v>
      </c>
      <c r="B38" s="34"/>
      <c r="C38" s="34"/>
      <c r="D38" s="34"/>
      <c r="E38" s="34"/>
      <c r="F38" s="34"/>
      <c r="G38" s="34"/>
      <c r="H38" s="34"/>
      <c r="I38" s="34"/>
      <c r="J38" s="34"/>
      <c r="K38" s="53"/>
      <c r="L38" s="53"/>
      <c r="M38" s="54"/>
    </row>
    <row r="39" spans="1:13">
      <c r="A39" s="56" t="s">
        <v>73</v>
      </c>
      <c r="B39" s="35"/>
      <c r="C39" s="35"/>
      <c r="D39" s="35"/>
      <c r="E39" s="35"/>
      <c r="F39" s="35"/>
      <c r="G39" s="35"/>
      <c r="H39" s="35"/>
      <c r="I39" s="35"/>
      <c r="J39" s="35"/>
      <c r="K39" s="53"/>
      <c r="L39" s="53"/>
      <c r="M39" s="54"/>
    </row>
    <row r="40" spans="1:13">
      <c r="A40" s="52" t="s">
        <v>70</v>
      </c>
      <c r="B40" s="34"/>
      <c r="C40" s="34"/>
      <c r="D40" s="34"/>
      <c r="E40" s="34"/>
      <c r="F40" s="34"/>
      <c r="G40" s="34"/>
      <c r="H40" s="34"/>
      <c r="I40" s="34"/>
      <c r="J40" s="34"/>
      <c r="K40" s="53"/>
      <c r="L40" s="53"/>
      <c r="M40" s="54"/>
    </row>
    <row r="41" spans="1:13">
      <c r="A41" s="52" t="s">
        <v>66</v>
      </c>
      <c r="B41" s="35"/>
      <c r="C41" s="35"/>
      <c r="D41" s="35"/>
      <c r="E41" s="35"/>
      <c r="F41" s="35"/>
      <c r="G41" s="35"/>
      <c r="H41" s="35"/>
      <c r="I41" s="35"/>
      <c r="J41" s="35"/>
      <c r="K41" s="53"/>
      <c r="L41" s="53"/>
      <c r="M41" s="54"/>
    </row>
    <row r="42" spans="1:13">
      <c r="A42" s="51" t="s">
        <v>75</v>
      </c>
      <c r="B42" s="34"/>
      <c r="C42" s="34"/>
      <c r="D42" s="34"/>
      <c r="E42" s="34"/>
      <c r="F42" s="34"/>
      <c r="G42" s="34"/>
      <c r="H42" s="34"/>
      <c r="I42" s="34"/>
      <c r="J42" s="34"/>
      <c r="K42" s="53"/>
      <c r="L42" s="53"/>
      <c r="M42" s="54"/>
    </row>
    <row r="43" spans="1:13">
      <c r="A43" s="52" t="s">
        <v>72</v>
      </c>
      <c r="B43" s="35"/>
      <c r="C43" s="35"/>
      <c r="D43" s="35"/>
      <c r="E43" s="35"/>
      <c r="F43" s="35"/>
      <c r="G43" s="35"/>
      <c r="H43" s="35"/>
      <c r="I43" s="35"/>
      <c r="J43" s="35"/>
      <c r="K43" s="53"/>
      <c r="L43" s="53"/>
      <c r="M43" s="54"/>
    </row>
    <row r="44" spans="1:13">
      <c r="A44" s="52" t="s">
        <v>80</v>
      </c>
      <c r="B44" s="34"/>
      <c r="C44" s="34"/>
      <c r="D44" s="34"/>
      <c r="E44" s="34"/>
      <c r="F44" s="34"/>
      <c r="G44" s="34"/>
      <c r="H44" s="34"/>
      <c r="I44" s="34"/>
      <c r="J44" s="34"/>
      <c r="K44" s="53"/>
      <c r="L44" s="53"/>
      <c r="M44" s="54"/>
    </row>
    <row r="45" spans="1:13">
      <c r="A45" s="52" t="s">
        <v>82</v>
      </c>
      <c r="B45" s="35"/>
      <c r="C45" s="35"/>
      <c r="D45" s="35"/>
      <c r="E45" s="35"/>
      <c r="F45" s="35"/>
      <c r="G45" s="35"/>
      <c r="H45" s="35"/>
      <c r="I45" s="35"/>
      <c r="J45" s="35"/>
      <c r="K45" s="53"/>
      <c r="L45" s="53"/>
      <c r="M45" s="54"/>
    </row>
    <row r="46" spans="1:13">
      <c r="A46" s="51" t="s">
        <v>77</v>
      </c>
      <c r="B46" s="34"/>
      <c r="C46" s="34"/>
      <c r="D46" s="34"/>
      <c r="E46" s="34"/>
      <c r="F46" s="34"/>
      <c r="G46" s="34"/>
      <c r="H46" s="34"/>
      <c r="I46" s="34"/>
      <c r="J46" s="34"/>
      <c r="K46" s="53"/>
      <c r="L46" s="53"/>
      <c r="M46" s="54"/>
    </row>
    <row r="47" spans="1:13">
      <c r="A47" s="52" t="s">
        <v>84</v>
      </c>
      <c r="B47" s="35"/>
      <c r="C47" s="35"/>
      <c r="D47" s="35"/>
      <c r="E47" s="35"/>
      <c r="F47" s="35"/>
      <c r="G47" s="35"/>
      <c r="H47" s="35"/>
      <c r="I47" s="35"/>
      <c r="J47" s="35"/>
      <c r="K47" s="53"/>
      <c r="L47" s="53"/>
      <c r="M47" s="54"/>
    </row>
    <row r="48" spans="1:13">
      <c r="A48" s="52" t="s">
        <v>86</v>
      </c>
      <c r="B48" s="34"/>
      <c r="C48" s="34"/>
      <c r="D48" s="34"/>
      <c r="E48" s="34"/>
      <c r="F48" s="34"/>
      <c r="G48" s="34"/>
      <c r="H48" s="34"/>
      <c r="I48" s="34"/>
      <c r="J48" s="34"/>
      <c r="K48" s="53"/>
      <c r="L48" s="53"/>
      <c r="M48" s="54"/>
    </row>
    <row r="49" spans="1:13">
      <c r="A49" s="52" t="s">
        <v>88</v>
      </c>
      <c r="B49" s="35"/>
      <c r="C49" s="35"/>
      <c r="D49" s="35"/>
      <c r="E49" s="35"/>
      <c r="F49" s="35"/>
      <c r="G49" s="35"/>
      <c r="H49" s="35"/>
      <c r="I49" s="35"/>
      <c r="J49" s="35"/>
      <c r="K49" s="53"/>
      <c r="L49" s="53"/>
      <c r="M49" s="54"/>
    </row>
    <row r="50" spans="1:13">
      <c r="A50" s="52" t="s">
        <v>79</v>
      </c>
      <c r="B50" s="34"/>
      <c r="C50" s="34"/>
      <c r="D50" s="34"/>
      <c r="E50" s="34"/>
      <c r="F50" s="34"/>
      <c r="G50" s="34"/>
      <c r="H50" s="34"/>
      <c r="I50" s="34"/>
      <c r="J50" s="37"/>
      <c r="K50" s="53"/>
      <c r="L50" s="53"/>
      <c r="M50" s="54"/>
    </row>
    <row r="51" spans="1:13">
      <c r="A51" s="55" t="s">
        <v>25</v>
      </c>
      <c r="B51" s="35"/>
      <c r="C51" s="35"/>
      <c r="D51" s="35"/>
      <c r="E51" s="35"/>
      <c r="F51" s="35"/>
      <c r="G51" s="35"/>
      <c r="H51" s="35"/>
      <c r="I51" s="35"/>
      <c r="J51" s="35"/>
      <c r="K51" s="53"/>
      <c r="L51" s="53"/>
      <c r="M51" s="54"/>
    </row>
    <row r="52" spans="1:13">
      <c r="A52" s="55" t="s">
        <v>29</v>
      </c>
      <c r="B52" s="34"/>
      <c r="C52" s="34"/>
      <c r="D52" s="34"/>
      <c r="E52" s="34"/>
      <c r="F52" s="34"/>
      <c r="G52" s="34"/>
      <c r="H52" s="34"/>
      <c r="I52" s="34"/>
      <c r="J52" s="34"/>
      <c r="K52" s="53"/>
      <c r="L52" s="53"/>
      <c r="M52" s="54"/>
    </row>
    <row r="53" spans="1:13">
      <c r="A53" s="55" t="s">
        <v>31</v>
      </c>
      <c r="B53" s="35"/>
      <c r="C53" s="35"/>
      <c r="D53" s="35"/>
      <c r="E53" s="35"/>
      <c r="F53" s="35"/>
      <c r="G53" s="35"/>
      <c r="H53" s="35"/>
      <c r="I53" s="35"/>
      <c r="J53" s="35"/>
      <c r="K53" s="53"/>
      <c r="L53" s="53"/>
      <c r="M53" s="54"/>
    </row>
    <row r="54" spans="1:13">
      <c r="A54" s="52" t="s">
        <v>115</v>
      </c>
      <c r="B54" s="34"/>
      <c r="C54" s="34"/>
      <c r="D54" s="34"/>
      <c r="E54" s="34"/>
      <c r="F54" s="34"/>
      <c r="G54" s="34"/>
      <c r="H54" s="34"/>
      <c r="I54" s="34"/>
      <c r="J54" s="34"/>
      <c r="K54" s="53"/>
      <c r="L54" s="53"/>
      <c r="M54" s="54"/>
    </row>
    <row r="55" spans="1:13">
      <c r="A55" s="57" t="s">
        <v>117</v>
      </c>
      <c r="B55" s="38"/>
      <c r="C55" s="38"/>
      <c r="D55" s="38"/>
      <c r="E55" s="38"/>
      <c r="F55" s="38"/>
      <c r="G55" s="38"/>
      <c r="H55" s="38"/>
      <c r="I55" s="38"/>
      <c r="J55" s="38"/>
      <c r="K55" s="58"/>
      <c r="L55" s="58"/>
      <c r="M55" s="59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A57F9-FA7E-4243-BB28-A9590F92E847}">
  <dimension ref="A1:AN68"/>
  <sheetViews>
    <sheetView topLeftCell="B10" zoomScale="129" workbookViewId="0">
      <selection activeCell="F2" sqref="F2"/>
    </sheetView>
  </sheetViews>
  <sheetFormatPr defaultRowHeight="14.5"/>
  <cols>
    <col min="2" max="2" width="8.1796875" customWidth="1"/>
    <col min="3" max="3" width="17" customWidth="1"/>
    <col min="4" max="4" width="8.26953125" customWidth="1"/>
    <col min="5" max="5" width="15.36328125" customWidth="1"/>
    <col min="6" max="7" width="8.453125" bestFit="1" customWidth="1"/>
    <col min="8" max="8" width="11.7265625" customWidth="1"/>
    <col min="9" max="9" width="21.1796875" bestFit="1" customWidth="1"/>
    <col min="10" max="10" width="5.36328125" customWidth="1"/>
    <col min="11" max="11" width="6.26953125" customWidth="1"/>
    <col min="12" max="12" width="6.08984375" customWidth="1"/>
    <col min="13" max="13" width="5.81640625" customWidth="1"/>
    <col min="14" max="14" width="5.08984375" customWidth="1"/>
    <col min="15" max="15" width="5.81640625" customWidth="1"/>
    <col min="16" max="16" width="4.08984375" customWidth="1"/>
    <col min="17" max="17" width="6" customWidth="1"/>
    <col min="18" max="18" width="6.1796875" customWidth="1"/>
    <col min="19" max="19" width="5.453125" customWidth="1"/>
    <col min="20" max="20" width="6.08984375" customWidth="1"/>
    <col min="21" max="21" width="4.81640625" customWidth="1"/>
    <col min="22" max="22" width="5.54296875" customWidth="1"/>
    <col min="23" max="23" width="6.54296875" customWidth="1"/>
    <col min="24" max="24" width="5.26953125" customWidth="1"/>
    <col min="25" max="25" width="6.08984375" customWidth="1"/>
    <col min="26" max="27" width="6.26953125" customWidth="1"/>
    <col min="28" max="28" width="5.90625" customWidth="1"/>
    <col min="29" max="29" width="6.1796875" customWidth="1"/>
    <col min="30" max="30" width="6" customWidth="1"/>
    <col min="31" max="31" width="6.54296875" customWidth="1"/>
    <col min="32" max="33" width="6.08984375" customWidth="1"/>
    <col min="34" max="34" width="6.453125" customWidth="1"/>
    <col min="35" max="35" width="6.36328125" customWidth="1"/>
    <col min="36" max="36" width="6.1796875" customWidth="1"/>
    <col min="37" max="37" width="6.26953125" customWidth="1"/>
    <col min="38" max="38" width="6.1796875" customWidth="1"/>
    <col min="39" max="39" width="6.54296875" customWidth="1"/>
    <col min="40" max="40" width="6.36328125" customWidth="1"/>
  </cols>
  <sheetData>
    <row r="1" spans="1:40">
      <c r="A1" t="s">
        <v>233</v>
      </c>
      <c r="B1" s="67" t="s">
        <v>148</v>
      </c>
      <c r="C1" s="65" t="s">
        <v>149</v>
      </c>
      <c r="D1" s="65" t="s">
        <v>236</v>
      </c>
      <c r="E1" s="64" t="s">
        <v>150</v>
      </c>
      <c r="F1" s="66" t="s">
        <v>151</v>
      </c>
      <c r="G1" s="66" t="s">
        <v>152</v>
      </c>
      <c r="H1" s="63" t="s">
        <v>153</v>
      </c>
      <c r="I1" s="65" t="s">
        <v>154</v>
      </c>
      <c r="J1" s="69" t="s">
        <v>237</v>
      </c>
      <c r="K1" s="69" t="s">
        <v>238</v>
      </c>
      <c r="L1" s="69" t="s">
        <v>239</v>
      </c>
      <c r="M1" s="69" t="s">
        <v>240</v>
      </c>
      <c r="N1" s="69" t="s">
        <v>241</v>
      </c>
      <c r="O1" s="69" t="s">
        <v>242</v>
      </c>
      <c r="P1" s="69" t="s">
        <v>243</v>
      </c>
      <c r="Q1" s="69" t="s">
        <v>244</v>
      </c>
      <c r="R1" s="69" t="s">
        <v>245</v>
      </c>
      <c r="S1" s="69" t="s">
        <v>246</v>
      </c>
      <c r="T1" s="69" t="s">
        <v>247</v>
      </c>
      <c r="U1" s="69" t="s">
        <v>248</v>
      </c>
      <c r="V1" s="69" t="s">
        <v>249</v>
      </c>
      <c r="W1" s="69" t="s">
        <v>250</v>
      </c>
      <c r="X1" s="69" t="s">
        <v>251</v>
      </c>
      <c r="Y1" s="69" t="s">
        <v>252</v>
      </c>
      <c r="Z1" s="69" t="s">
        <v>253</v>
      </c>
      <c r="AA1" s="69" t="s">
        <v>254</v>
      </c>
      <c r="AB1" s="69" t="s">
        <v>255</v>
      </c>
      <c r="AC1" s="69" t="s">
        <v>256</v>
      </c>
      <c r="AD1" s="69" t="s">
        <v>257</v>
      </c>
      <c r="AE1" s="69" t="s">
        <v>258</v>
      </c>
      <c r="AF1" s="69" t="s">
        <v>259</v>
      </c>
      <c r="AG1" s="69" t="s">
        <v>260</v>
      </c>
      <c r="AH1" s="69" t="s">
        <v>261</v>
      </c>
      <c r="AI1" s="69" t="s">
        <v>262</v>
      </c>
      <c r="AJ1" s="69" t="s">
        <v>263</v>
      </c>
      <c r="AK1" s="69" t="s">
        <v>264</v>
      </c>
      <c r="AL1" s="69" t="s">
        <v>265</v>
      </c>
      <c r="AM1" s="69" t="s">
        <v>266</v>
      </c>
      <c r="AN1" s="69" t="s">
        <v>267</v>
      </c>
    </row>
    <row r="2" spans="1:40">
      <c r="A2">
        <v>1</v>
      </c>
      <c r="B2" s="62">
        <v>101595</v>
      </c>
      <c r="C2" s="70" t="s">
        <v>155</v>
      </c>
      <c r="D2" s="70" t="s">
        <v>156</v>
      </c>
      <c r="E2" s="70" t="s">
        <v>157</v>
      </c>
      <c r="F2" s="70">
        <v>41426</v>
      </c>
      <c r="G2" s="70">
        <f ca="1">TODAY()</f>
        <v>45928</v>
      </c>
      <c r="H2" s="70">
        <f ca="1">((G2-F2)/30)/12</f>
        <v>12.505555555555555</v>
      </c>
      <c r="I2" s="70" t="s">
        <v>126</v>
      </c>
      <c r="J2" s="26"/>
      <c r="K2" s="26"/>
      <c r="L2" s="26"/>
      <c r="M2" s="26"/>
      <c r="N2" s="68"/>
      <c r="O2" s="68"/>
      <c r="P2" s="26"/>
      <c r="Q2" s="26"/>
      <c r="R2" s="26"/>
      <c r="S2" s="26"/>
      <c r="T2" s="26"/>
      <c r="U2" s="60"/>
      <c r="V2" s="60"/>
      <c r="W2" s="26"/>
      <c r="X2" s="26"/>
      <c r="Y2" s="26"/>
      <c r="Z2" s="26"/>
      <c r="AA2" s="26"/>
      <c r="AB2" s="60"/>
      <c r="AC2" s="60"/>
      <c r="AD2" s="26"/>
      <c r="AE2" s="26"/>
      <c r="AF2" s="26"/>
      <c r="AG2" s="26"/>
      <c r="AH2" s="26"/>
      <c r="AI2" s="60"/>
      <c r="AJ2" s="60"/>
      <c r="AK2" s="26"/>
      <c r="AL2" s="26"/>
      <c r="AM2" s="26"/>
      <c r="AN2" s="26"/>
    </row>
    <row r="3" spans="1:40">
      <c r="A3">
        <v>2</v>
      </c>
      <c r="B3" s="62">
        <v>2621</v>
      </c>
      <c r="C3" s="70" t="s">
        <v>158</v>
      </c>
      <c r="D3" s="70" t="s">
        <v>156</v>
      </c>
      <c r="E3" s="70" t="s">
        <v>159</v>
      </c>
      <c r="F3" s="70">
        <v>43503</v>
      </c>
      <c r="G3" s="70">
        <f t="shared" ref="G3:G53" ca="1" si="0">TODAY()</f>
        <v>45928</v>
      </c>
      <c r="H3" s="70">
        <f t="shared" ref="H3:H11" ca="1" si="1">((G3-F3)/30)/12</f>
        <v>6.7361111111111107</v>
      </c>
      <c r="I3" s="70" t="s">
        <v>126</v>
      </c>
      <c r="J3" s="26"/>
      <c r="K3" s="26"/>
      <c r="L3" s="26"/>
      <c r="M3" s="26"/>
      <c r="N3" s="68"/>
      <c r="O3" s="68"/>
      <c r="P3" s="26"/>
      <c r="Q3" s="26"/>
      <c r="R3" s="26"/>
      <c r="S3" s="26"/>
      <c r="T3" s="26"/>
      <c r="U3" s="60"/>
      <c r="V3" s="60"/>
      <c r="W3" s="26"/>
      <c r="X3" s="26"/>
      <c r="Y3" s="26"/>
      <c r="Z3" s="26"/>
      <c r="AA3" s="26"/>
      <c r="AB3" s="60"/>
      <c r="AC3" s="60"/>
      <c r="AD3" s="26"/>
      <c r="AE3" s="26"/>
      <c r="AF3" s="26"/>
      <c r="AG3" s="26"/>
      <c r="AH3" s="26"/>
      <c r="AI3" s="60"/>
      <c r="AJ3" s="60"/>
      <c r="AK3" s="26"/>
      <c r="AL3" s="26"/>
      <c r="AM3" s="26"/>
      <c r="AN3" s="26"/>
    </row>
    <row r="4" spans="1:40">
      <c r="A4">
        <v>3</v>
      </c>
      <c r="B4" s="62">
        <v>200615</v>
      </c>
      <c r="C4" s="70" t="s">
        <v>160</v>
      </c>
      <c r="D4" s="70" t="s">
        <v>156</v>
      </c>
      <c r="E4" s="70" t="s">
        <v>157</v>
      </c>
      <c r="F4" s="70">
        <v>44249</v>
      </c>
      <c r="G4" s="70">
        <f t="shared" ca="1" si="0"/>
        <v>45928</v>
      </c>
      <c r="H4" s="70">
        <f t="shared" ca="1" si="1"/>
        <v>4.6638888888888888</v>
      </c>
      <c r="I4" s="70" t="s">
        <v>161</v>
      </c>
      <c r="J4" s="26"/>
      <c r="K4" s="26"/>
      <c r="L4" s="26"/>
      <c r="M4" s="26"/>
      <c r="N4" s="68"/>
      <c r="O4" s="68"/>
      <c r="P4" s="26"/>
      <c r="Q4" s="26"/>
      <c r="R4" s="26"/>
      <c r="S4" s="26"/>
      <c r="T4" s="26"/>
      <c r="U4" s="60"/>
      <c r="V4" s="60"/>
      <c r="W4" s="26"/>
      <c r="X4" s="26"/>
      <c r="Y4" s="26"/>
      <c r="Z4" s="26"/>
      <c r="AA4" s="26"/>
      <c r="AB4" s="60"/>
      <c r="AC4" s="60"/>
      <c r="AD4" s="26"/>
      <c r="AE4" s="26"/>
      <c r="AF4" s="26"/>
      <c r="AG4" s="26"/>
      <c r="AH4" s="26"/>
      <c r="AI4" s="60"/>
      <c r="AJ4" s="60"/>
      <c r="AK4" s="26"/>
      <c r="AL4" s="26"/>
      <c r="AM4" s="26"/>
      <c r="AN4" s="26"/>
    </row>
    <row r="5" spans="1:40">
      <c r="A5">
        <v>4</v>
      </c>
      <c r="B5" s="62">
        <v>200545</v>
      </c>
      <c r="C5" s="70" t="s">
        <v>162</v>
      </c>
      <c r="D5" s="70" t="s">
        <v>156</v>
      </c>
      <c r="E5" s="70" t="s">
        <v>157</v>
      </c>
      <c r="F5" s="70">
        <v>44249</v>
      </c>
      <c r="G5" s="70">
        <f t="shared" ca="1" si="0"/>
        <v>45928</v>
      </c>
      <c r="H5" s="70">
        <f t="shared" ca="1" si="1"/>
        <v>4.6638888888888888</v>
      </c>
      <c r="I5" s="70" t="s">
        <v>161</v>
      </c>
      <c r="J5" s="26"/>
      <c r="K5" s="26"/>
      <c r="L5" s="26"/>
      <c r="M5" s="26"/>
      <c r="N5" s="68"/>
      <c r="O5" s="68"/>
      <c r="P5" s="26"/>
      <c r="Q5" s="26"/>
      <c r="R5" s="26"/>
      <c r="S5" s="26"/>
      <c r="T5" s="26"/>
      <c r="U5" s="60"/>
      <c r="V5" s="60"/>
      <c r="W5" s="26"/>
      <c r="X5" s="26"/>
      <c r="Y5" s="26"/>
      <c r="Z5" s="26"/>
      <c r="AA5" s="26"/>
      <c r="AB5" s="60"/>
      <c r="AC5" s="60"/>
      <c r="AD5" s="26"/>
      <c r="AE5" s="26"/>
      <c r="AF5" s="26"/>
      <c r="AG5" s="26"/>
      <c r="AH5" s="26"/>
      <c r="AI5" s="60"/>
      <c r="AJ5" s="60"/>
      <c r="AK5" s="26"/>
      <c r="AL5" s="26"/>
      <c r="AM5" s="26"/>
      <c r="AN5" s="26"/>
    </row>
    <row r="6" spans="1:40">
      <c r="A6">
        <v>5</v>
      </c>
      <c r="B6" s="62">
        <v>101739</v>
      </c>
      <c r="C6" s="70" t="s">
        <v>163</v>
      </c>
      <c r="D6" s="70" t="s">
        <v>156</v>
      </c>
      <c r="E6" s="70" t="s">
        <v>157</v>
      </c>
      <c r="F6" s="70">
        <v>42156</v>
      </c>
      <c r="G6" s="70">
        <f t="shared" ca="1" si="0"/>
        <v>45928</v>
      </c>
      <c r="H6" s="70">
        <f t="shared" ca="1" si="1"/>
        <v>10.477777777777778</v>
      </c>
      <c r="I6" s="70" t="s">
        <v>164</v>
      </c>
      <c r="J6" s="26"/>
      <c r="K6" s="26"/>
      <c r="L6" s="26"/>
      <c r="M6" s="26"/>
      <c r="N6" s="68"/>
      <c r="O6" s="68"/>
      <c r="P6" s="26"/>
      <c r="Q6" s="26"/>
      <c r="R6" s="26"/>
      <c r="S6" s="26"/>
      <c r="T6" s="26"/>
      <c r="U6" s="60"/>
      <c r="V6" s="60"/>
      <c r="W6" s="26"/>
      <c r="X6" s="26"/>
      <c r="Y6" s="26"/>
      <c r="Z6" s="26"/>
      <c r="AA6" s="26"/>
      <c r="AB6" s="60"/>
      <c r="AC6" s="60"/>
      <c r="AD6" s="26"/>
      <c r="AE6" s="26"/>
      <c r="AF6" s="26"/>
      <c r="AG6" s="26"/>
      <c r="AH6" s="26"/>
      <c r="AI6" s="60"/>
      <c r="AJ6" s="60"/>
      <c r="AK6" s="26"/>
      <c r="AL6" s="26"/>
      <c r="AM6" s="26"/>
      <c r="AN6" s="26"/>
    </row>
    <row r="7" spans="1:40">
      <c r="A7">
        <v>6</v>
      </c>
      <c r="B7" s="62">
        <v>101049</v>
      </c>
      <c r="C7" s="70" t="s">
        <v>165</v>
      </c>
      <c r="D7" s="70" t="s">
        <v>156</v>
      </c>
      <c r="E7" s="70" t="s">
        <v>157</v>
      </c>
      <c r="F7" s="70">
        <v>40179</v>
      </c>
      <c r="G7" s="70">
        <f t="shared" ca="1" si="0"/>
        <v>45928</v>
      </c>
      <c r="H7" s="70">
        <f t="shared" ca="1" si="1"/>
        <v>15.969444444444443</v>
      </c>
      <c r="I7" s="70" t="s">
        <v>164</v>
      </c>
      <c r="J7" s="26"/>
      <c r="K7" s="26"/>
      <c r="L7" s="26"/>
      <c r="M7" s="26"/>
      <c r="N7" s="68"/>
      <c r="O7" s="68"/>
      <c r="P7" s="26"/>
      <c r="Q7" s="26"/>
      <c r="R7" s="26"/>
      <c r="S7" s="26"/>
      <c r="T7" s="26"/>
      <c r="U7" s="60"/>
      <c r="V7" s="60"/>
      <c r="W7" s="26"/>
      <c r="X7" s="26"/>
      <c r="Y7" s="26"/>
      <c r="Z7" s="26"/>
      <c r="AA7" s="26"/>
      <c r="AB7" s="60"/>
      <c r="AC7" s="60"/>
      <c r="AD7" s="26"/>
      <c r="AE7" s="26"/>
      <c r="AF7" s="26"/>
      <c r="AG7" s="26"/>
      <c r="AH7" s="26"/>
      <c r="AI7" s="60"/>
      <c r="AJ7" s="60"/>
      <c r="AK7" s="26"/>
      <c r="AL7" s="26"/>
      <c r="AM7" s="26"/>
      <c r="AN7" s="26"/>
    </row>
    <row r="8" spans="1:40">
      <c r="A8">
        <v>7</v>
      </c>
      <c r="B8" s="62">
        <v>101736</v>
      </c>
      <c r="C8" s="70" t="s">
        <v>166</v>
      </c>
      <c r="D8" s="70" t="s">
        <v>156</v>
      </c>
      <c r="E8" s="70" t="s">
        <v>157</v>
      </c>
      <c r="F8" s="70">
        <v>42156</v>
      </c>
      <c r="G8" s="70">
        <f t="shared" ca="1" si="0"/>
        <v>45928</v>
      </c>
      <c r="H8" s="70">
        <f t="shared" ca="1" si="1"/>
        <v>10.477777777777778</v>
      </c>
      <c r="I8" s="70" t="s">
        <v>164</v>
      </c>
      <c r="J8" s="26"/>
      <c r="K8" s="26"/>
      <c r="L8" s="26"/>
      <c r="M8" s="26"/>
      <c r="N8" s="68"/>
      <c r="O8" s="68"/>
      <c r="P8" s="26"/>
      <c r="Q8" s="26"/>
      <c r="R8" s="26"/>
      <c r="S8" s="26"/>
      <c r="T8" s="26"/>
      <c r="U8" s="60"/>
      <c r="V8" s="60"/>
      <c r="W8" s="26"/>
      <c r="X8" s="26"/>
      <c r="Y8" s="26"/>
      <c r="Z8" s="26"/>
      <c r="AA8" s="26"/>
      <c r="AB8" s="60"/>
      <c r="AC8" s="60"/>
      <c r="AD8" s="26"/>
      <c r="AE8" s="26"/>
      <c r="AF8" s="26"/>
      <c r="AG8" s="26"/>
      <c r="AH8" s="26"/>
      <c r="AI8" s="60"/>
      <c r="AJ8" s="60"/>
      <c r="AK8" s="26"/>
      <c r="AL8" s="26"/>
      <c r="AM8" s="26"/>
      <c r="AN8" s="26"/>
    </row>
    <row r="9" spans="1:40">
      <c r="A9">
        <v>8</v>
      </c>
      <c r="B9" s="62">
        <v>101044</v>
      </c>
      <c r="C9" s="70" t="s">
        <v>167</v>
      </c>
      <c r="D9" s="70" t="s">
        <v>156</v>
      </c>
      <c r="E9" s="70" t="s">
        <v>157</v>
      </c>
      <c r="F9" s="70">
        <v>40179</v>
      </c>
      <c r="G9" s="70">
        <f t="shared" ca="1" si="0"/>
        <v>45928</v>
      </c>
      <c r="H9" s="70">
        <f t="shared" ca="1" si="1"/>
        <v>15.969444444444443</v>
      </c>
      <c r="I9" s="70" t="s">
        <v>164</v>
      </c>
      <c r="J9" s="26"/>
      <c r="K9" s="26"/>
      <c r="L9" s="26"/>
      <c r="M9" s="26"/>
      <c r="N9" s="68"/>
      <c r="O9" s="68"/>
      <c r="P9" s="26"/>
      <c r="Q9" s="26"/>
      <c r="R9" s="26"/>
      <c r="S9" s="26"/>
      <c r="T9" s="26"/>
      <c r="U9" s="60"/>
      <c r="V9" s="60"/>
      <c r="W9" s="26"/>
      <c r="X9" s="26"/>
      <c r="Y9" s="26"/>
      <c r="Z9" s="26"/>
      <c r="AA9" s="26"/>
      <c r="AB9" s="60"/>
      <c r="AC9" s="60"/>
      <c r="AD9" s="26"/>
      <c r="AE9" s="26"/>
      <c r="AF9" s="26"/>
      <c r="AG9" s="26"/>
      <c r="AH9" s="26"/>
      <c r="AI9" s="60"/>
      <c r="AJ9" s="60"/>
      <c r="AK9" s="26"/>
      <c r="AL9" s="26"/>
      <c r="AM9" s="26"/>
      <c r="AN9" s="26"/>
    </row>
    <row r="10" spans="1:40">
      <c r="A10">
        <v>9</v>
      </c>
      <c r="B10" s="62">
        <v>570</v>
      </c>
      <c r="C10" s="70" t="s">
        <v>168</v>
      </c>
      <c r="D10" s="70" t="s">
        <v>156</v>
      </c>
      <c r="E10" s="70" t="s">
        <v>159</v>
      </c>
      <c r="F10" s="70">
        <v>41091</v>
      </c>
      <c r="G10" s="70">
        <f t="shared" ca="1" si="0"/>
        <v>45928</v>
      </c>
      <c r="H10" s="70">
        <f t="shared" ca="1" si="1"/>
        <v>13.43611111111111</v>
      </c>
      <c r="I10" s="70" t="s">
        <v>164</v>
      </c>
      <c r="J10" s="26"/>
      <c r="K10" s="26"/>
      <c r="L10" s="26"/>
      <c r="M10" s="26"/>
      <c r="N10" s="68"/>
      <c r="O10" s="68"/>
      <c r="P10" s="26"/>
      <c r="Q10" s="26"/>
      <c r="R10" s="26"/>
      <c r="S10" s="26"/>
      <c r="T10" s="26"/>
      <c r="U10" s="60"/>
      <c r="V10" s="60"/>
      <c r="W10" s="26"/>
      <c r="X10" s="26"/>
      <c r="Y10" s="26"/>
      <c r="Z10" s="26"/>
      <c r="AA10" s="26"/>
      <c r="AB10" s="60"/>
      <c r="AC10" s="60"/>
      <c r="AD10" s="26"/>
      <c r="AE10" s="26"/>
      <c r="AF10" s="26"/>
      <c r="AG10" s="26"/>
      <c r="AH10" s="26"/>
      <c r="AI10" s="60"/>
      <c r="AJ10" s="60"/>
      <c r="AK10" s="26"/>
      <c r="AL10" s="26"/>
      <c r="AM10" s="26"/>
      <c r="AN10" s="26"/>
    </row>
    <row r="11" spans="1:40">
      <c r="A11">
        <v>10</v>
      </c>
      <c r="B11" s="62">
        <v>200681</v>
      </c>
      <c r="C11" s="70" t="s">
        <v>169</v>
      </c>
      <c r="D11" s="70" t="s">
        <v>156</v>
      </c>
      <c r="E11" s="70" t="s">
        <v>157</v>
      </c>
      <c r="F11" s="70">
        <v>44378</v>
      </c>
      <c r="G11" s="70">
        <f t="shared" ca="1" si="0"/>
        <v>45928</v>
      </c>
      <c r="H11" s="70">
        <f t="shared" ca="1" si="1"/>
        <v>4.3055555555555554</v>
      </c>
      <c r="I11" s="70" t="s">
        <v>161</v>
      </c>
      <c r="J11" s="26"/>
      <c r="K11" s="26"/>
      <c r="L11" s="26"/>
      <c r="M11" s="26"/>
      <c r="N11" s="68"/>
      <c r="O11" s="68"/>
      <c r="P11" s="26"/>
      <c r="Q11" s="26"/>
      <c r="R11" s="26"/>
      <c r="S11" s="26"/>
      <c r="T11" s="26"/>
      <c r="U11" s="60"/>
      <c r="V11" s="60"/>
      <c r="W11" s="26"/>
      <c r="X11" s="26"/>
      <c r="Y11" s="26"/>
      <c r="Z11" s="26"/>
      <c r="AA11" s="26"/>
      <c r="AB11" s="60"/>
      <c r="AC11" s="60"/>
      <c r="AD11" s="26"/>
      <c r="AE11" s="26"/>
      <c r="AF11" s="26"/>
      <c r="AG11" s="26"/>
      <c r="AH11" s="26"/>
      <c r="AI11" s="60"/>
      <c r="AJ11" s="60"/>
      <c r="AK11" s="26"/>
      <c r="AL11" s="26"/>
      <c r="AM11" s="26"/>
      <c r="AN11" s="26"/>
    </row>
    <row r="12" spans="1:40">
      <c r="A12">
        <v>11</v>
      </c>
      <c r="B12" s="62">
        <v>3039</v>
      </c>
      <c r="C12" s="70" t="s">
        <v>170</v>
      </c>
      <c r="D12" s="70" t="s">
        <v>156</v>
      </c>
      <c r="E12" s="70" t="s">
        <v>171</v>
      </c>
      <c r="F12" s="70">
        <v>45231</v>
      </c>
      <c r="G12" s="70">
        <f t="shared" ca="1" si="0"/>
        <v>45928</v>
      </c>
      <c r="H12" s="70">
        <f ca="1">((G12-F12)/30)/12</f>
        <v>1.9361111111111111</v>
      </c>
      <c r="I12" s="70" t="s">
        <v>161</v>
      </c>
      <c r="J12" s="26"/>
      <c r="K12" s="26"/>
      <c r="L12" s="26"/>
      <c r="M12" s="26"/>
      <c r="N12" s="68"/>
      <c r="O12" s="68"/>
      <c r="P12" s="26"/>
      <c r="Q12" s="26"/>
      <c r="R12" s="26"/>
      <c r="S12" s="26"/>
      <c r="T12" s="26"/>
      <c r="U12" s="60"/>
      <c r="V12" s="60"/>
      <c r="W12" s="26"/>
      <c r="X12" s="26"/>
      <c r="Y12" s="26"/>
      <c r="Z12" s="26"/>
      <c r="AA12" s="26"/>
      <c r="AB12" s="60"/>
      <c r="AC12" s="60"/>
      <c r="AD12" s="26"/>
      <c r="AE12" s="26"/>
      <c r="AF12" s="26"/>
      <c r="AG12" s="26"/>
      <c r="AH12" s="26"/>
      <c r="AI12" s="60"/>
      <c r="AJ12" s="60"/>
      <c r="AK12" s="26"/>
      <c r="AL12" s="26"/>
      <c r="AM12" s="26"/>
      <c r="AN12" s="26"/>
    </row>
    <row r="13" spans="1:40">
      <c r="A13">
        <v>12</v>
      </c>
      <c r="B13" s="62">
        <v>2015</v>
      </c>
      <c r="C13" s="70" t="s">
        <v>172</v>
      </c>
      <c r="D13" s="70" t="s">
        <v>156</v>
      </c>
      <c r="E13" s="70" t="s">
        <v>171</v>
      </c>
      <c r="F13" s="70">
        <v>45252</v>
      </c>
      <c r="G13" s="70">
        <f t="shared" ca="1" si="0"/>
        <v>45928</v>
      </c>
      <c r="H13" s="70">
        <f ca="1">((G13-F13)/30)/12</f>
        <v>1.877777777777778</v>
      </c>
      <c r="I13" s="70" t="s">
        <v>161</v>
      </c>
      <c r="J13" s="26"/>
      <c r="K13" s="26"/>
      <c r="L13" s="26"/>
      <c r="M13" s="26"/>
      <c r="N13" s="68"/>
      <c r="O13" s="68"/>
      <c r="P13" s="26"/>
      <c r="Q13" s="26"/>
      <c r="R13" s="26"/>
      <c r="S13" s="26"/>
      <c r="T13" s="26"/>
      <c r="U13" s="60"/>
      <c r="V13" s="60"/>
      <c r="W13" s="26"/>
      <c r="X13" s="26"/>
      <c r="Y13" s="26"/>
      <c r="Z13" s="26"/>
      <c r="AA13" s="26"/>
      <c r="AB13" s="60"/>
      <c r="AC13" s="60"/>
      <c r="AD13" s="26"/>
      <c r="AE13" s="26"/>
      <c r="AF13" s="26"/>
      <c r="AG13" s="26"/>
      <c r="AH13" s="26"/>
      <c r="AI13" s="60"/>
      <c r="AJ13" s="60"/>
      <c r="AK13" s="26"/>
      <c r="AL13" s="26"/>
      <c r="AM13" s="26"/>
      <c r="AN13" s="26"/>
    </row>
    <row r="14" spans="1:40">
      <c r="A14">
        <v>13</v>
      </c>
      <c r="B14" s="62">
        <v>4787</v>
      </c>
      <c r="C14" s="70" t="s">
        <v>173</v>
      </c>
      <c r="D14" s="70" t="s">
        <v>156</v>
      </c>
      <c r="E14" s="70" t="s">
        <v>174</v>
      </c>
      <c r="F14" s="70">
        <v>45253</v>
      </c>
      <c r="G14" s="70">
        <f t="shared" ca="1" si="0"/>
        <v>45928</v>
      </c>
      <c r="H14" s="70">
        <f ca="1">((G14-F14)/30)/12</f>
        <v>1.875</v>
      </c>
      <c r="I14" s="70" t="s">
        <v>161</v>
      </c>
      <c r="J14" s="26"/>
      <c r="K14" s="26"/>
      <c r="L14" s="26"/>
      <c r="M14" s="26"/>
      <c r="N14" s="68"/>
      <c r="O14" s="68"/>
      <c r="P14" s="26"/>
      <c r="Q14" s="26"/>
      <c r="R14" s="26"/>
      <c r="S14" s="26"/>
      <c r="T14" s="26"/>
      <c r="U14" s="60"/>
      <c r="V14" s="60"/>
      <c r="W14" s="26"/>
      <c r="X14" s="26"/>
      <c r="Y14" s="26"/>
      <c r="Z14" s="26"/>
      <c r="AA14" s="26"/>
      <c r="AB14" s="60"/>
      <c r="AC14" s="60"/>
      <c r="AD14" s="26"/>
      <c r="AE14" s="26"/>
      <c r="AF14" s="26"/>
      <c r="AG14" s="26"/>
      <c r="AH14" s="26"/>
      <c r="AI14" s="60"/>
      <c r="AJ14" s="60"/>
      <c r="AK14" s="26"/>
      <c r="AL14" s="26"/>
      <c r="AM14" s="26"/>
      <c r="AN14" s="26"/>
    </row>
    <row r="15" spans="1:40">
      <c r="A15">
        <v>14</v>
      </c>
      <c r="B15" s="62">
        <v>101048</v>
      </c>
      <c r="C15" s="70" t="s">
        <v>175</v>
      </c>
      <c r="D15" s="70" t="s">
        <v>156</v>
      </c>
      <c r="E15" s="70" t="s">
        <v>157</v>
      </c>
      <c r="F15" s="70">
        <v>40179</v>
      </c>
      <c r="G15" s="70">
        <f t="shared" ca="1" si="0"/>
        <v>45928</v>
      </c>
      <c r="H15" s="70">
        <f t="shared" ref="H15:H40" ca="1" si="2">((G15-F15)/30)/12</f>
        <v>15.969444444444443</v>
      </c>
      <c r="I15" s="70" t="s">
        <v>176</v>
      </c>
      <c r="J15" s="26"/>
      <c r="K15" s="26"/>
      <c r="L15" s="26"/>
      <c r="M15" s="26"/>
      <c r="N15" s="68"/>
      <c r="O15" s="68"/>
      <c r="P15" s="26"/>
      <c r="Q15" s="26"/>
      <c r="R15" s="26"/>
      <c r="S15" s="26"/>
      <c r="T15" s="26"/>
      <c r="U15" s="60"/>
      <c r="V15" s="60"/>
      <c r="W15" s="26"/>
      <c r="X15" s="26"/>
      <c r="Y15" s="26"/>
      <c r="Z15" s="26"/>
      <c r="AA15" s="26"/>
      <c r="AB15" s="60"/>
      <c r="AC15" s="60"/>
      <c r="AD15" s="26"/>
      <c r="AE15" s="26"/>
      <c r="AF15" s="26"/>
      <c r="AG15" s="26"/>
      <c r="AH15" s="26"/>
      <c r="AI15" s="60"/>
      <c r="AJ15" s="60"/>
      <c r="AK15" s="26"/>
      <c r="AL15" s="26"/>
      <c r="AM15" s="26"/>
      <c r="AN15" s="26"/>
    </row>
    <row r="16" spans="1:40">
      <c r="A16">
        <v>15</v>
      </c>
      <c r="B16" s="62">
        <v>101041</v>
      </c>
      <c r="C16" s="70" t="s">
        <v>177</v>
      </c>
      <c r="D16" s="70"/>
      <c r="E16" s="70" t="s">
        <v>157</v>
      </c>
      <c r="F16" s="70">
        <v>40179</v>
      </c>
      <c r="G16" s="70">
        <f t="shared" ca="1" si="0"/>
        <v>45928</v>
      </c>
      <c r="H16" s="70">
        <f t="shared" ca="1" si="2"/>
        <v>15.969444444444443</v>
      </c>
      <c r="I16" s="70" t="s">
        <v>178</v>
      </c>
      <c r="J16" s="26"/>
      <c r="K16" s="26"/>
      <c r="L16" s="26"/>
      <c r="M16" s="26"/>
      <c r="N16" s="68"/>
      <c r="O16" s="68"/>
      <c r="P16" s="26"/>
      <c r="Q16" s="26"/>
      <c r="R16" s="26"/>
      <c r="S16" s="26"/>
      <c r="T16" s="26"/>
      <c r="U16" s="60"/>
      <c r="V16" s="60"/>
      <c r="W16" s="26"/>
      <c r="X16" s="26"/>
      <c r="Y16" s="26"/>
      <c r="Z16" s="26"/>
      <c r="AA16" s="26"/>
      <c r="AB16" s="60"/>
      <c r="AC16" s="60"/>
      <c r="AD16" s="26"/>
      <c r="AE16" s="26"/>
      <c r="AF16" s="26"/>
      <c r="AG16" s="26"/>
      <c r="AH16" s="26"/>
      <c r="AI16" s="60"/>
      <c r="AJ16" s="60"/>
      <c r="AK16" s="26"/>
      <c r="AL16" s="26"/>
      <c r="AM16" s="26"/>
      <c r="AN16" s="26"/>
    </row>
    <row r="17" spans="1:40">
      <c r="A17">
        <v>16</v>
      </c>
      <c r="B17" s="62">
        <v>3290</v>
      </c>
      <c r="C17" s="70" t="s">
        <v>179</v>
      </c>
      <c r="D17" s="70" t="s">
        <v>156</v>
      </c>
      <c r="E17" s="70" t="s">
        <v>171</v>
      </c>
      <c r="F17" s="70">
        <v>44229</v>
      </c>
      <c r="G17" s="70">
        <f t="shared" ca="1" si="0"/>
        <v>45928</v>
      </c>
      <c r="H17" s="70">
        <f t="shared" ca="1" si="2"/>
        <v>4.7194444444444441</v>
      </c>
      <c r="I17" s="70" t="s">
        <v>178</v>
      </c>
      <c r="J17" s="26"/>
      <c r="K17" s="26"/>
      <c r="L17" s="26"/>
      <c r="M17" s="26"/>
      <c r="N17" s="68"/>
      <c r="O17" s="68"/>
      <c r="P17" s="26"/>
      <c r="Q17" s="26"/>
      <c r="R17" s="26"/>
      <c r="S17" s="26"/>
      <c r="T17" s="26"/>
      <c r="U17" s="60"/>
      <c r="V17" s="60"/>
      <c r="W17" s="26"/>
      <c r="X17" s="26"/>
      <c r="Y17" s="26"/>
      <c r="Z17" s="26"/>
      <c r="AA17" s="26"/>
      <c r="AB17" s="60"/>
      <c r="AC17" s="60"/>
      <c r="AD17" s="26"/>
      <c r="AE17" s="26"/>
      <c r="AF17" s="26"/>
      <c r="AG17" s="26"/>
      <c r="AH17" s="26"/>
      <c r="AI17" s="60"/>
      <c r="AJ17" s="60"/>
      <c r="AK17" s="26"/>
      <c r="AL17" s="26"/>
      <c r="AM17" s="26"/>
      <c r="AN17" s="26"/>
    </row>
    <row r="18" spans="1:40">
      <c r="A18">
        <v>17</v>
      </c>
      <c r="B18" s="62">
        <v>2025</v>
      </c>
      <c r="C18" s="70" t="s">
        <v>180</v>
      </c>
      <c r="D18" s="70" t="s">
        <v>156</v>
      </c>
      <c r="E18" s="70" t="s">
        <v>171</v>
      </c>
      <c r="F18" s="70">
        <v>45236</v>
      </c>
      <c r="G18" s="70">
        <f t="shared" ca="1" si="0"/>
        <v>45928</v>
      </c>
      <c r="H18" s="70">
        <f t="shared" ca="1" si="2"/>
        <v>1.9222222222222223</v>
      </c>
      <c r="I18" s="70" t="s">
        <v>181</v>
      </c>
      <c r="J18" s="26"/>
      <c r="K18" s="26"/>
      <c r="L18" s="26"/>
      <c r="M18" s="26"/>
      <c r="N18" s="68"/>
      <c r="O18" s="68"/>
      <c r="P18" s="26"/>
      <c r="Q18" s="26"/>
      <c r="R18" s="26"/>
      <c r="S18" s="26"/>
      <c r="T18" s="26"/>
      <c r="U18" s="60"/>
      <c r="V18" s="60"/>
      <c r="W18" s="26"/>
      <c r="X18" s="26"/>
      <c r="Y18" s="26"/>
      <c r="Z18" s="26"/>
      <c r="AA18" s="26"/>
      <c r="AB18" s="60"/>
      <c r="AC18" s="60"/>
      <c r="AD18" s="26"/>
      <c r="AE18" s="26"/>
      <c r="AF18" s="26"/>
      <c r="AG18" s="26"/>
      <c r="AH18" s="26"/>
      <c r="AI18" s="60"/>
      <c r="AJ18" s="60"/>
      <c r="AK18" s="26"/>
      <c r="AL18" s="26"/>
      <c r="AM18" s="26"/>
      <c r="AN18" s="26"/>
    </row>
    <row r="19" spans="1:40">
      <c r="A19">
        <v>18</v>
      </c>
      <c r="B19" s="62">
        <v>101050</v>
      </c>
      <c r="C19" s="70" t="s">
        <v>182</v>
      </c>
      <c r="D19" s="70" t="s">
        <v>156</v>
      </c>
      <c r="E19" s="70" t="s">
        <v>157</v>
      </c>
      <c r="F19" s="70">
        <v>40179</v>
      </c>
      <c r="G19" s="70">
        <f t="shared" ca="1" si="0"/>
        <v>45928</v>
      </c>
      <c r="H19" s="70">
        <f t="shared" ca="1" si="2"/>
        <v>15.969444444444443</v>
      </c>
      <c r="I19" s="70" t="s">
        <v>183</v>
      </c>
      <c r="J19" s="26"/>
      <c r="K19" s="26"/>
      <c r="L19" s="26"/>
      <c r="M19" s="26"/>
      <c r="N19" s="68"/>
      <c r="O19" s="68"/>
      <c r="P19" s="26"/>
      <c r="Q19" s="26"/>
      <c r="R19" s="26"/>
      <c r="S19" s="26"/>
      <c r="T19" s="26"/>
      <c r="U19" s="60"/>
      <c r="V19" s="60"/>
      <c r="W19" s="26"/>
      <c r="X19" s="26"/>
      <c r="Y19" s="26"/>
      <c r="Z19" s="26"/>
      <c r="AA19" s="26"/>
      <c r="AB19" s="60"/>
      <c r="AC19" s="60"/>
      <c r="AD19" s="26"/>
      <c r="AE19" s="26"/>
      <c r="AF19" s="26"/>
      <c r="AG19" s="26"/>
      <c r="AH19" s="26"/>
      <c r="AI19" s="60"/>
      <c r="AJ19" s="60"/>
      <c r="AK19" s="26"/>
      <c r="AL19" s="26"/>
      <c r="AM19" s="26"/>
      <c r="AN19" s="26"/>
    </row>
    <row r="20" spans="1:40">
      <c r="A20">
        <v>19</v>
      </c>
      <c r="B20" s="62">
        <v>101325</v>
      </c>
      <c r="C20" s="70" t="s">
        <v>184</v>
      </c>
      <c r="D20" s="70"/>
      <c r="E20" s="70" t="s">
        <v>157</v>
      </c>
      <c r="F20" s="70">
        <v>40544</v>
      </c>
      <c r="G20" s="70">
        <f t="shared" ca="1" si="0"/>
        <v>45928</v>
      </c>
      <c r="H20" s="70">
        <f t="shared" ca="1" si="2"/>
        <v>14.955555555555556</v>
      </c>
      <c r="I20" s="70" t="s">
        <v>183</v>
      </c>
      <c r="J20" s="26"/>
      <c r="K20" s="26"/>
      <c r="L20" s="26"/>
      <c r="M20" s="26"/>
      <c r="N20" s="68"/>
      <c r="O20" s="68"/>
      <c r="P20" s="26"/>
      <c r="Q20" s="26"/>
      <c r="R20" s="26"/>
      <c r="S20" s="26"/>
      <c r="T20" s="26"/>
      <c r="U20" s="60"/>
      <c r="V20" s="60"/>
      <c r="W20" s="26"/>
      <c r="X20" s="26"/>
      <c r="Y20" s="26"/>
      <c r="Z20" s="26"/>
      <c r="AA20" s="26"/>
      <c r="AB20" s="60"/>
      <c r="AC20" s="60"/>
      <c r="AD20" s="26"/>
      <c r="AE20" s="26"/>
      <c r="AF20" s="26"/>
      <c r="AG20" s="26"/>
      <c r="AH20" s="26"/>
      <c r="AI20" s="60"/>
      <c r="AJ20" s="60"/>
      <c r="AK20" s="26"/>
      <c r="AL20" s="26"/>
      <c r="AM20" s="26"/>
      <c r="AN20" s="26"/>
    </row>
    <row r="21" spans="1:40">
      <c r="A21">
        <v>20</v>
      </c>
      <c r="B21" s="62">
        <v>200484</v>
      </c>
      <c r="C21" s="70" t="s">
        <v>185</v>
      </c>
      <c r="D21" s="70" t="s">
        <v>156</v>
      </c>
      <c r="E21" s="70" t="s">
        <v>157</v>
      </c>
      <c r="F21" s="70">
        <v>44249</v>
      </c>
      <c r="G21" s="70">
        <f t="shared" ca="1" si="0"/>
        <v>45928</v>
      </c>
      <c r="H21" s="70">
        <f t="shared" ca="1" si="2"/>
        <v>4.6638888888888888</v>
      </c>
      <c r="I21" s="70" t="s">
        <v>186</v>
      </c>
      <c r="J21" s="26"/>
      <c r="K21" s="26"/>
      <c r="L21" s="26"/>
      <c r="M21" s="26"/>
      <c r="N21" s="68"/>
      <c r="O21" s="68"/>
      <c r="P21" s="26"/>
      <c r="Q21" s="26"/>
      <c r="R21" s="26"/>
      <c r="S21" s="26"/>
      <c r="T21" s="26"/>
      <c r="U21" s="60"/>
      <c r="V21" s="60"/>
      <c r="W21" s="26"/>
      <c r="X21" s="26"/>
      <c r="Y21" s="26"/>
      <c r="Z21" s="26"/>
      <c r="AA21" s="26"/>
      <c r="AB21" s="60"/>
      <c r="AC21" s="60"/>
      <c r="AD21" s="26"/>
      <c r="AE21" s="26"/>
      <c r="AF21" s="26"/>
      <c r="AG21" s="26"/>
      <c r="AH21" s="26"/>
      <c r="AI21" s="60"/>
      <c r="AJ21" s="60"/>
      <c r="AK21" s="26"/>
      <c r="AL21" s="26"/>
      <c r="AM21" s="26"/>
      <c r="AN21" s="26"/>
    </row>
    <row r="22" spans="1:40">
      <c r="A22">
        <v>21</v>
      </c>
      <c r="B22" s="62">
        <v>200460</v>
      </c>
      <c r="C22" s="70" t="s">
        <v>187</v>
      </c>
      <c r="D22" s="70" t="s">
        <v>156</v>
      </c>
      <c r="E22" s="70" t="s">
        <v>157</v>
      </c>
      <c r="F22" s="70">
        <v>45173</v>
      </c>
      <c r="G22" s="70">
        <f t="shared" ca="1" si="0"/>
        <v>45928</v>
      </c>
      <c r="H22" s="70">
        <f t="shared" ca="1" si="2"/>
        <v>2.0972222222222223</v>
      </c>
      <c r="I22" s="70" t="s">
        <v>188</v>
      </c>
      <c r="J22" s="26"/>
      <c r="K22" s="26"/>
      <c r="L22" s="26"/>
      <c r="M22" s="26"/>
      <c r="N22" s="68"/>
      <c r="O22" s="68"/>
      <c r="P22" s="26"/>
      <c r="Q22" s="26"/>
      <c r="R22" s="26"/>
      <c r="S22" s="26"/>
      <c r="T22" s="26"/>
      <c r="U22" s="60"/>
      <c r="V22" s="60"/>
      <c r="W22" s="26"/>
      <c r="X22" s="26"/>
      <c r="Y22" s="26"/>
      <c r="Z22" s="26"/>
      <c r="AA22" s="26"/>
      <c r="AB22" s="60"/>
      <c r="AC22" s="60"/>
      <c r="AD22" s="26"/>
      <c r="AE22" s="26"/>
      <c r="AF22" s="26"/>
      <c r="AG22" s="26"/>
      <c r="AH22" s="26"/>
      <c r="AI22" s="60"/>
      <c r="AJ22" s="60"/>
      <c r="AK22" s="26"/>
      <c r="AL22" s="26"/>
      <c r="AM22" s="26"/>
      <c r="AN22" s="26"/>
    </row>
    <row r="23" spans="1:40">
      <c r="A23">
        <v>22</v>
      </c>
      <c r="B23" s="62">
        <v>200535</v>
      </c>
      <c r="C23" s="70" t="s">
        <v>189</v>
      </c>
      <c r="D23" s="70" t="s">
        <v>156</v>
      </c>
      <c r="E23" s="70" t="s">
        <v>157</v>
      </c>
      <c r="F23" s="70">
        <v>44987</v>
      </c>
      <c r="G23" s="70">
        <f t="shared" ca="1" si="0"/>
        <v>45928</v>
      </c>
      <c r="H23" s="70">
        <f t="shared" ca="1" si="2"/>
        <v>2.6138888888888889</v>
      </c>
      <c r="I23" s="70" t="s">
        <v>188</v>
      </c>
      <c r="J23" s="26"/>
      <c r="K23" s="26"/>
      <c r="L23" s="26"/>
      <c r="M23" s="26"/>
      <c r="N23" s="68"/>
      <c r="O23" s="68"/>
      <c r="P23" s="26"/>
      <c r="Q23" s="26"/>
      <c r="R23" s="26"/>
      <c r="S23" s="26"/>
      <c r="T23" s="26"/>
      <c r="U23" s="60"/>
      <c r="V23" s="60"/>
      <c r="W23" s="26"/>
      <c r="X23" s="26"/>
      <c r="Y23" s="26"/>
      <c r="Z23" s="26"/>
      <c r="AA23" s="26"/>
      <c r="AB23" s="60"/>
      <c r="AC23" s="60"/>
      <c r="AD23" s="26"/>
      <c r="AE23" s="26"/>
      <c r="AF23" s="26"/>
      <c r="AG23" s="26"/>
      <c r="AH23" s="26"/>
      <c r="AI23" s="60"/>
      <c r="AJ23" s="60"/>
      <c r="AK23" s="26"/>
      <c r="AL23" s="26"/>
      <c r="AM23" s="26"/>
      <c r="AN23" s="26"/>
    </row>
    <row r="24" spans="1:40">
      <c r="A24">
        <v>23</v>
      </c>
      <c r="B24" s="62">
        <v>5407</v>
      </c>
      <c r="C24" s="70" t="s">
        <v>190</v>
      </c>
      <c r="D24" s="70" t="s">
        <v>156</v>
      </c>
      <c r="E24" s="70" t="s">
        <v>159</v>
      </c>
      <c r="F24" s="70">
        <v>45709</v>
      </c>
      <c r="G24" s="70">
        <f t="shared" ca="1" si="0"/>
        <v>45928</v>
      </c>
      <c r="H24" s="70">
        <f t="shared" ca="1" si="2"/>
        <v>0.60833333333333328</v>
      </c>
      <c r="I24" s="70" t="s">
        <v>188</v>
      </c>
      <c r="J24" s="26"/>
      <c r="K24" s="26"/>
      <c r="L24" s="26"/>
      <c r="M24" s="26"/>
      <c r="N24" s="68"/>
      <c r="O24" s="68"/>
      <c r="P24" s="26"/>
      <c r="Q24" s="26"/>
      <c r="R24" s="26"/>
      <c r="S24" s="26"/>
      <c r="T24" s="26"/>
      <c r="U24" s="60"/>
      <c r="V24" s="60"/>
      <c r="W24" s="26"/>
      <c r="X24" s="26"/>
      <c r="Y24" s="26"/>
      <c r="Z24" s="26"/>
      <c r="AA24" s="26"/>
      <c r="AB24" s="60"/>
      <c r="AC24" s="60"/>
      <c r="AD24" s="26"/>
      <c r="AE24" s="26"/>
      <c r="AF24" s="26"/>
      <c r="AG24" s="26"/>
      <c r="AH24" s="26"/>
      <c r="AI24" s="60"/>
      <c r="AJ24" s="60"/>
      <c r="AK24" s="26"/>
      <c r="AL24" s="26"/>
      <c r="AM24" s="26"/>
      <c r="AN24" s="26"/>
    </row>
    <row r="25" spans="1:40">
      <c r="A25">
        <v>24</v>
      </c>
      <c r="B25" s="62">
        <v>101330</v>
      </c>
      <c r="C25" s="70" t="s">
        <v>191</v>
      </c>
      <c r="D25" s="70"/>
      <c r="E25" s="70" t="s">
        <v>157</v>
      </c>
      <c r="F25" s="70">
        <v>40544</v>
      </c>
      <c r="G25" s="70">
        <f t="shared" ca="1" si="0"/>
        <v>45928</v>
      </c>
      <c r="H25" s="70">
        <f t="shared" ca="1" si="2"/>
        <v>14.955555555555556</v>
      </c>
      <c r="I25" s="70" t="s">
        <v>176</v>
      </c>
      <c r="J25" s="26"/>
      <c r="K25" s="26"/>
      <c r="L25" s="26"/>
      <c r="M25" s="26"/>
      <c r="N25" s="68"/>
      <c r="O25" s="68"/>
      <c r="P25" s="26"/>
      <c r="Q25" s="26"/>
      <c r="R25" s="26"/>
      <c r="S25" s="26"/>
      <c r="T25" s="26"/>
      <c r="U25" s="60"/>
      <c r="V25" s="60"/>
      <c r="W25" s="26"/>
      <c r="X25" s="26"/>
      <c r="Y25" s="26"/>
      <c r="Z25" s="26"/>
      <c r="AA25" s="26"/>
      <c r="AB25" s="60"/>
      <c r="AC25" s="60"/>
      <c r="AD25" s="26"/>
      <c r="AE25" s="26"/>
      <c r="AF25" s="26"/>
      <c r="AG25" s="26"/>
      <c r="AH25" s="26"/>
      <c r="AI25" s="60"/>
      <c r="AJ25" s="60"/>
      <c r="AK25" s="26"/>
      <c r="AL25" s="26"/>
      <c r="AM25" s="26"/>
      <c r="AN25" s="26"/>
    </row>
    <row r="26" spans="1:40">
      <c r="A26">
        <v>25</v>
      </c>
      <c r="B26" s="62">
        <v>200607</v>
      </c>
      <c r="C26" s="70" t="s">
        <v>192</v>
      </c>
      <c r="D26" s="70"/>
      <c r="E26" s="70" t="s">
        <v>157</v>
      </c>
      <c r="F26" s="70">
        <v>44839</v>
      </c>
      <c r="G26" s="70">
        <f t="shared" ca="1" si="0"/>
        <v>45928</v>
      </c>
      <c r="H26" s="70">
        <f t="shared" ca="1" si="2"/>
        <v>3.0249999999999999</v>
      </c>
      <c r="I26" s="70" t="s">
        <v>176</v>
      </c>
      <c r="J26" s="26"/>
      <c r="K26" s="26"/>
      <c r="L26" s="26"/>
      <c r="M26" s="26"/>
      <c r="N26" s="68"/>
      <c r="O26" s="68"/>
      <c r="P26" s="26"/>
      <c r="Q26" s="26"/>
      <c r="R26" s="26"/>
      <c r="S26" s="26"/>
      <c r="T26" s="26"/>
      <c r="U26" s="60"/>
      <c r="V26" s="60"/>
      <c r="W26" s="26"/>
      <c r="X26" s="26"/>
      <c r="Y26" s="26"/>
      <c r="Z26" s="26"/>
      <c r="AA26" s="26"/>
      <c r="AB26" s="60"/>
      <c r="AC26" s="60"/>
      <c r="AD26" s="26"/>
      <c r="AE26" s="26"/>
      <c r="AF26" s="26"/>
      <c r="AG26" s="26"/>
      <c r="AH26" s="26"/>
      <c r="AI26" s="60"/>
      <c r="AJ26" s="60"/>
      <c r="AK26" s="26"/>
      <c r="AL26" s="26"/>
      <c r="AM26" s="26"/>
      <c r="AN26" s="26"/>
    </row>
    <row r="27" spans="1:40">
      <c r="A27">
        <v>26</v>
      </c>
      <c r="B27" s="62">
        <v>200453</v>
      </c>
      <c r="C27" s="70" t="s">
        <v>193</v>
      </c>
      <c r="D27" s="70"/>
      <c r="E27" s="70" t="s">
        <v>157</v>
      </c>
      <c r="F27" s="70">
        <v>44249</v>
      </c>
      <c r="G27" s="70">
        <f t="shared" ca="1" si="0"/>
        <v>45928</v>
      </c>
      <c r="H27" s="70">
        <f t="shared" ca="1" si="2"/>
        <v>4.6638888888888888</v>
      </c>
      <c r="I27" s="70" t="s">
        <v>176</v>
      </c>
      <c r="J27" s="26"/>
      <c r="K27" s="26"/>
      <c r="L27" s="26"/>
      <c r="M27" s="26"/>
      <c r="N27" s="68"/>
      <c r="O27" s="68"/>
      <c r="P27" s="26"/>
      <c r="Q27" s="26"/>
      <c r="R27" s="26"/>
      <c r="S27" s="26"/>
      <c r="T27" s="26"/>
      <c r="U27" s="60"/>
      <c r="V27" s="60"/>
      <c r="W27" s="26"/>
      <c r="X27" s="26"/>
      <c r="Y27" s="26"/>
      <c r="Z27" s="26"/>
      <c r="AA27" s="26"/>
      <c r="AB27" s="60"/>
      <c r="AC27" s="60"/>
      <c r="AD27" s="26"/>
      <c r="AE27" s="26"/>
      <c r="AF27" s="26"/>
      <c r="AG27" s="26"/>
      <c r="AH27" s="26"/>
      <c r="AI27" s="60"/>
      <c r="AJ27" s="60"/>
      <c r="AK27" s="26"/>
      <c r="AL27" s="26"/>
      <c r="AM27" s="26"/>
      <c r="AN27" s="26"/>
    </row>
    <row r="28" spans="1:40">
      <c r="A28">
        <v>27</v>
      </c>
      <c r="B28" s="62">
        <v>2002</v>
      </c>
      <c r="C28" s="70" t="s">
        <v>194</v>
      </c>
      <c r="D28" s="70"/>
      <c r="E28" s="70" t="s">
        <v>171</v>
      </c>
      <c r="F28" s="70">
        <v>40088</v>
      </c>
      <c r="G28" s="70">
        <f t="shared" ca="1" si="0"/>
        <v>45928</v>
      </c>
      <c r="H28" s="70">
        <f t="shared" ca="1" si="2"/>
        <v>16.222222222222221</v>
      </c>
      <c r="I28" s="70" t="s">
        <v>129</v>
      </c>
      <c r="J28" s="26"/>
      <c r="K28" s="26"/>
      <c r="L28" s="26"/>
      <c r="M28" s="26"/>
      <c r="N28" s="68"/>
      <c r="O28" s="68"/>
      <c r="P28" s="26"/>
      <c r="Q28" s="26"/>
      <c r="R28" s="26"/>
      <c r="S28" s="26"/>
      <c r="T28" s="26"/>
      <c r="U28" s="60"/>
      <c r="V28" s="60"/>
      <c r="W28" s="26"/>
      <c r="X28" s="26"/>
      <c r="Y28" s="26"/>
      <c r="Z28" s="26"/>
      <c r="AA28" s="26"/>
      <c r="AB28" s="60"/>
      <c r="AC28" s="60"/>
      <c r="AD28" s="26"/>
      <c r="AE28" s="26"/>
      <c r="AF28" s="26"/>
      <c r="AG28" s="26"/>
      <c r="AH28" s="26"/>
      <c r="AI28" s="60"/>
      <c r="AJ28" s="60"/>
      <c r="AK28" s="26"/>
      <c r="AL28" s="26"/>
      <c r="AM28" s="26"/>
      <c r="AN28" s="26"/>
    </row>
    <row r="29" spans="1:40">
      <c r="A29">
        <v>28</v>
      </c>
      <c r="B29" s="62">
        <v>2014</v>
      </c>
      <c r="C29" s="70" t="s">
        <v>195</v>
      </c>
      <c r="D29" s="70"/>
      <c r="E29" s="70" t="s">
        <v>171</v>
      </c>
      <c r="F29" s="70">
        <v>40729</v>
      </c>
      <c r="G29" s="70">
        <f t="shared" ca="1" si="0"/>
        <v>45928</v>
      </c>
      <c r="H29" s="70">
        <f t="shared" ca="1" si="2"/>
        <v>14.441666666666668</v>
      </c>
      <c r="I29" s="70" t="s">
        <v>129</v>
      </c>
      <c r="J29" s="26"/>
      <c r="K29" s="26"/>
      <c r="L29" s="26"/>
      <c r="M29" s="26"/>
      <c r="N29" s="68"/>
      <c r="O29" s="68"/>
      <c r="P29" s="26"/>
      <c r="Q29" s="26"/>
      <c r="R29" s="26"/>
      <c r="S29" s="26"/>
      <c r="T29" s="26"/>
      <c r="U29" s="60"/>
      <c r="V29" s="60"/>
      <c r="W29" s="26"/>
      <c r="X29" s="26"/>
      <c r="Y29" s="26"/>
      <c r="Z29" s="26"/>
      <c r="AA29" s="26"/>
      <c r="AB29" s="60"/>
      <c r="AC29" s="60"/>
      <c r="AD29" s="26"/>
      <c r="AE29" s="26"/>
      <c r="AF29" s="26"/>
      <c r="AG29" s="26"/>
      <c r="AH29" s="26"/>
      <c r="AI29" s="60"/>
      <c r="AJ29" s="60"/>
      <c r="AK29" s="26"/>
      <c r="AL29" s="26"/>
      <c r="AM29" s="26"/>
      <c r="AN29" s="26"/>
    </row>
    <row r="30" spans="1:40">
      <c r="A30">
        <v>29</v>
      </c>
      <c r="B30" s="62">
        <v>2515</v>
      </c>
      <c r="C30" s="70" t="s">
        <v>196</v>
      </c>
      <c r="D30" s="70"/>
      <c r="E30" s="70" t="s">
        <v>159</v>
      </c>
      <c r="F30" s="70">
        <v>43389</v>
      </c>
      <c r="G30" s="70">
        <f t="shared" ca="1" si="0"/>
        <v>45928</v>
      </c>
      <c r="H30" s="70">
        <f t="shared" ca="1" si="2"/>
        <v>7.052777777777778</v>
      </c>
      <c r="I30" s="70" t="s">
        <v>129</v>
      </c>
      <c r="J30" s="26"/>
      <c r="K30" s="26"/>
      <c r="L30" s="26"/>
      <c r="M30" s="26"/>
      <c r="N30" s="68"/>
      <c r="O30" s="68"/>
      <c r="P30" s="26"/>
      <c r="Q30" s="26"/>
      <c r="R30" s="26"/>
      <c r="S30" s="26"/>
      <c r="T30" s="26"/>
      <c r="U30" s="60"/>
      <c r="V30" s="60"/>
      <c r="W30" s="26"/>
      <c r="X30" s="26"/>
      <c r="Y30" s="26"/>
      <c r="Z30" s="26"/>
      <c r="AA30" s="26"/>
      <c r="AB30" s="60"/>
      <c r="AC30" s="60"/>
      <c r="AD30" s="26"/>
      <c r="AE30" s="26"/>
      <c r="AF30" s="26"/>
      <c r="AG30" s="26"/>
      <c r="AH30" s="26"/>
      <c r="AI30" s="60"/>
      <c r="AJ30" s="60"/>
      <c r="AK30" s="26"/>
      <c r="AL30" s="26"/>
      <c r="AM30" s="26"/>
      <c r="AN30" s="26"/>
    </row>
    <row r="31" spans="1:40">
      <c r="A31">
        <v>30</v>
      </c>
      <c r="B31" s="62">
        <v>3293</v>
      </c>
      <c r="C31" s="70" t="s">
        <v>197</v>
      </c>
      <c r="D31" s="70"/>
      <c r="E31" s="70" t="s">
        <v>159</v>
      </c>
      <c r="F31" s="70">
        <v>44236</v>
      </c>
      <c r="G31" s="70">
        <f t="shared" ca="1" si="0"/>
        <v>45928</v>
      </c>
      <c r="H31" s="70">
        <f t="shared" ca="1" si="2"/>
        <v>4.7</v>
      </c>
      <c r="I31" s="70" t="s">
        <v>129</v>
      </c>
      <c r="J31" s="26"/>
      <c r="K31" s="26"/>
      <c r="L31" s="26"/>
      <c r="M31" s="26"/>
      <c r="N31" s="68"/>
      <c r="O31" s="68"/>
      <c r="P31" s="26"/>
      <c r="Q31" s="26"/>
      <c r="R31" s="26"/>
      <c r="S31" s="26"/>
      <c r="T31" s="26"/>
      <c r="U31" s="60"/>
      <c r="V31" s="60"/>
      <c r="W31" s="26"/>
      <c r="X31" s="26"/>
      <c r="Y31" s="26"/>
      <c r="Z31" s="26"/>
      <c r="AA31" s="26"/>
      <c r="AB31" s="60"/>
      <c r="AC31" s="60"/>
      <c r="AD31" s="26"/>
      <c r="AE31" s="26"/>
      <c r="AF31" s="26"/>
      <c r="AG31" s="26"/>
      <c r="AH31" s="26"/>
      <c r="AI31" s="60"/>
      <c r="AJ31" s="60"/>
      <c r="AK31" s="26"/>
      <c r="AL31" s="26"/>
      <c r="AM31" s="26"/>
      <c r="AN31" s="26"/>
    </row>
    <row r="32" spans="1:40">
      <c r="A32">
        <v>31</v>
      </c>
      <c r="B32" s="62">
        <v>3330</v>
      </c>
      <c r="C32" s="70" t="s">
        <v>198</v>
      </c>
      <c r="D32" s="70"/>
      <c r="E32" s="70" t="s">
        <v>171</v>
      </c>
      <c r="F32" s="70">
        <v>44246</v>
      </c>
      <c r="G32" s="70">
        <f t="shared" ca="1" si="0"/>
        <v>45928</v>
      </c>
      <c r="H32" s="70">
        <f t="shared" ca="1" si="2"/>
        <v>4.6722222222222225</v>
      </c>
      <c r="I32" s="70" t="s">
        <v>129</v>
      </c>
      <c r="J32" s="26"/>
      <c r="K32" s="26"/>
      <c r="L32" s="26"/>
      <c r="M32" s="26"/>
      <c r="N32" s="68"/>
      <c r="O32" s="68"/>
      <c r="P32" s="26"/>
      <c r="Q32" s="26"/>
      <c r="R32" s="26"/>
      <c r="S32" s="26"/>
      <c r="T32" s="26"/>
      <c r="U32" s="60"/>
      <c r="V32" s="60"/>
      <c r="W32" s="26"/>
      <c r="X32" s="26"/>
      <c r="Y32" s="26"/>
      <c r="Z32" s="26"/>
      <c r="AA32" s="26"/>
      <c r="AB32" s="60"/>
      <c r="AC32" s="60"/>
      <c r="AD32" s="26"/>
      <c r="AE32" s="26"/>
      <c r="AF32" s="26"/>
      <c r="AG32" s="26"/>
      <c r="AH32" s="26"/>
      <c r="AI32" s="60"/>
      <c r="AJ32" s="60"/>
      <c r="AK32" s="26"/>
      <c r="AL32" s="26"/>
      <c r="AM32" s="26"/>
      <c r="AN32" s="26"/>
    </row>
    <row r="33" spans="1:40">
      <c r="A33">
        <v>32</v>
      </c>
      <c r="B33" s="62">
        <v>3247</v>
      </c>
      <c r="C33" s="70" t="s">
        <v>199</v>
      </c>
      <c r="D33" s="70"/>
      <c r="E33" s="70" t="s">
        <v>159</v>
      </c>
      <c r="F33" s="70">
        <v>45035</v>
      </c>
      <c r="G33" s="70">
        <f t="shared" ca="1" si="0"/>
        <v>45928</v>
      </c>
      <c r="H33" s="70">
        <f t="shared" ca="1" si="2"/>
        <v>2.4805555555555556</v>
      </c>
      <c r="I33" s="70" t="s">
        <v>129</v>
      </c>
      <c r="J33" s="26"/>
      <c r="K33" s="26"/>
      <c r="L33" s="26"/>
      <c r="M33" s="26"/>
      <c r="N33" s="68"/>
      <c r="O33" s="68"/>
      <c r="P33" s="26"/>
      <c r="Q33" s="26"/>
      <c r="R33" s="26"/>
      <c r="S33" s="26"/>
      <c r="T33" s="26"/>
      <c r="U33" s="60"/>
      <c r="V33" s="60"/>
      <c r="W33" s="26"/>
      <c r="X33" s="26"/>
      <c r="Y33" s="26"/>
      <c r="Z33" s="26"/>
      <c r="AA33" s="26"/>
      <c r="AB33" s="60"/>
      <c r="AC33" s="60"/>
      <c r="AD33" s="26"/>
      <c r="AE33" s="26"/>
      <c r="AF33" s="26"/>
      <c r="AG33" s="26"/>
      <c r="AH33" s="26"/>
      <c r="AI33" s="60"/>
      <c r="AJ33" s="60"/>
      <c r="AK33" s="26"/>
      <c r="AL33" s="26"/>
      <c r="AM33" s="26"/>
      <c r="AN33" s="26"/>
    </row>
    <row r="34" spans="1:40">
      <c r="A34">
        <v>33</v>
      </c>
      <c r="B34" s="62">
        <v>3129</v>
      </c>
      <c r="C34" s="70" t="s">
        <v>200</v>
      </c>
      <c r="D34" s="70"/>
      <c r="E34" s="70" t="s">
        <v>171</v>
      </c>
      <c r="F34" s="70">
        <v>44147</v>
      </c>
      <c r="G34" s="70">
        <f t="shared" ca="1" si="0"/>
        <v>45928</v>
      </c>
      <c r="H34" s="70">
        <f t="shared" ca="1" si="2"/>
        <v>4.947222222222222</v>
      </c>
      <c r="I34" s="70" t="s">
        <v>201</v>
      </c>
      <c r="J34" s="26"/>
      <c r="K34" s="26"/>
      <c r="L34" s="26"/>
      <c r="M34" s="26"/>
      <c r="N34" s="68"/>
      <c r="O34" s="68"/>
      <c r="P34" s="26"/>
      <c r="Q34" s="26"/>
      <c r="R34" s="26"/>
      <c r="S34" s="26"/>
      <c r="T34" s="26"/>
      <c r="U34" s="60"/>
      <c r="V34" s="60"/>
      <c r="W34" s="26"/>
      <c r="X34" s="26"/>
      <c r="Y34" s="26"/>
      <c r="Z34" s="26"/>
      <c r="AA34" s="26"/>
      <c r="AB34" s="60"/>
      <c r="AC34" s="60"/>
      <c r="AD34" s="26"/>
      <c r="AE34" s="26"/>
      <c r="AF34" s="26"/>
      <c r="AG34" s="26"/>
      <c r="AH34" s="26"/>
      <c r="AI34" s="60"/>
      <c r="AJ34" s="60"/>
      <c r="AK34" s="26"/>
      <c r="AL34" s="26"/>
      <c r="AM34" s="26"/>
      <c r="AN34" s="26"/>
    </row>
    <row r="35" spans="1:40">
      <c r="A35">
        <v>34</v>
      </c>
      <c r="B35" s="62">
        <v>101737</v>
      </c>
      <c r="C35" s="70" t="s">
        <v>202</v>
      </c>
      <c r="D35" s="70"/>
      <c r="E35" s="70" t="s">
        <v>157</v>
      </c>
      <c r="F35" s="70">
        <v>42156</v>
      </c>
      <c r="G35" s="70">
        <f t="shared" ca="1" si="0"/>
        <v>45928</v>
      </c>
      <c r="H35" s="70">
        <f t="shared" ca="1" si="2"/>
        <v>10.477777777777778</v>
      </c>
      <c r="I35" s="70" t="s">
        <v>203</v>
      </c>
      <c r="J35" s="26"/>
      <c r="K35" s="26"/>
      <c r="L35" s="26"/>
      <c r="M35" s="26"/>
      <c r="N35" s="68"/>
      <c r="O35" s="68"/>
      <c r="P35" s="26"/>
      <c r="Q35" s="26"/>
      <c r="R35" s="26"/>
      <c r="S35" s="26"/>
      <c r="T35" s="26"/>
      <c r="U35" s="60"/>
      <c r="V35" s="60"/>
      <c r="W35" s="26"/>
      <c r="X35" s="26"/>
      <c r="Y35" s="26"/>
      <c r="Z35" s="26"/>
      <c r="AA35" s="26"/>
      <c r="AB35" s="60"/>
      <c r="AC35" s="60"/>
      <c r="AD35" s="26"/>
      <c r="AE35" s="26"/>
      <c r="AF35" s="26"/>
      <c r="AG35" s="26"/>
      <c r="AH35" s="26"/>
      <c r="AI35" s="60"/>
      <c r="AJ35" s="60"/>
      <c r="AK35" s="26"/>
      <c r="AL35" s="26"/>
      <c r="AM35" s="26"/>
      <c r="AN35" s="26"/>
    </row>
    <row r="36" spans="1:40">
      <c r="A36">
        <v>35</v>
      </c>
      <c r="B36" s="62">
        <v>3381</v>
      </c>
      <c r="C36" s="70" t="s">
        <v>204</v>
      </c>
      <c r="D36" s="70"/>
      <c r="E36" s="70" t="s">
        <v>171</v>
      </c>
      <c r="F36" s="70">
        <v>44264</v>
      </c>
      <c r="G36" s="70">
        <f t="shared" ca="1" si="0"/>
        <v>45928</v>
      </c>
      <c r="H36" s="70">
        <f t="shared" ca="1" si="2"/>
        <v>4.6222222222222227</v>
      </c>
      <c r="I36" s="70" t="s">
        <v>205</v>
      </c>
      <c r="J36" s="26"/>
      <c r="K36" s="26"/>
      <c r="L36" s="26"/>
      <c r="M36" s="26"/>
      <c r="N36" s="68"/>
      <c r="O36" s="68"/>
      <c r="P36" s="26"/>
      <c r="Q36" s="26"/>
      <c r="R36" s="26"/>
      <c r="S36" s="26"/>
      <c r="T36" s="26"/>
      <c r="U36" s="60"/>
      <c r="V36" s="60"/>
      <c r="W36" s="26"/>
      <c r="X36" s="26"/>
      <c r="Y36" s="26"/>
      <c r="Z36" s="26"/>
      <c r="AA36" s="26"/>
      <c r="AB36" s="60"/>
      <c r="AC36" s="60"/>
      <c r="AD36" s="26"/>
      <c r="AE36" s="26"/>
      <c r="AF36" s="26"/>
      <c r="AG36" s="26"/>
      <c r="AH36" s="26"/>
      <c r="AI36" s="60"/>
      <c r="AJ36" s="60"/>
      <c r="AK36" s="26"/>
      <c r="AL36" s="26"/>
      <c r="AM36" s="26"/>
      <c r="AN36" s="26"/>
    </row>
    <row r="37" spans="1:40">
      <c r="A37">
        <v>36</v>
      </c>
      <c r="B37" s="62">
        <v>101324</v>
      </c>
      <c r="C37" s="70" t="s">
        <v>206</v>
      </c>
      <c r="D37" s="70"/>
      <c r="E37" s="70" t="s">
        <v>157</v>
      </c>
      <c r="F37" s="70">
        <v>40544</v>
      </c>
      <c r="G37" s="70">
        <f t="shared" ca="1" si="0"/>
        <v>45928</v>
      </c>
      <c r="H37" s="70">
        <f t="shared" ca="1" si="2"/>
        <v>14.955555555555556</v>
      </c>
      <c r="I37" s="70" t="s">
        <v>207</v>
      </c>
      <c r="J37" s="26"/>
      <c r="K37" s="26"/>
      <c r="L37" s="26"/>
      <c r="M37" s="26"/>
      <c r="N37" s="68"/>
      <c r="O37" s="68"/>
      <c r="P37" s="26"/>
      <c r="Q37" s="26"/>
      <c r="R37" s="26"/>
      <c r="S37" s="26"/>
      <c r="T37" s="26"/>
      <c r="U37" s="60"/>
      <c r="V37" s="60"/>
      <c r="W37" s="26"/>
      <c r="X37" s="26"/>
      <c r="Y37" s="26"/>
      <c r="Z37" s="26"/>
      <c r="AA37" s="26"/>
      <c r="AB37" s="60"/>
      <c r="AC37" s="60"/>
      <c r="AD37" s="26"/>
      <c r="AE37" s="26"/>
      <c r="AF37" s="26"/>
      <c r="AG37" s="26"/>
      <c r="AH37" s="26"/>
      <c r="AI37" s="60"/>
      <c r="AJ37" s="60"/>
      <c r="AK37" s="26"/>
      <c r="AL37" s="26"/>
      <c r="AM37" s="26"/>
      <c r="AN37" s="26"/>
    </row>
    <row r="38" spans="1:40">
      <c r="A38">
        <v>37</v>
      </c>
      <c r="B38" s="62">
        <v>101738</v>
      </c>
      <c r="C38" s="70" t="s">
        <v>208</v>
      </c>
      <c r="D38" s="70"/>
      <c r="E38" s="70" t="s">
        <v>157</v>
      </c>
      <c r="F38" s="70">
        <v>42156</v>
      </c>
      <c r="G38" s="70">
        <f t="shared" ca="1" si="0"/>
        <v>45928</v>
      </c>
      <c r="H38" s="70">
        <f t="shared" ca="1" si="2"/>
        <v>10.477777777777778</v>
      </c>
      <c r="I38" s="70" t="s">
        <v>207</v>
      </c>
      <c r="J38" s="26"/>
      <c r="K38" s="26"/>
      <c r="L38" s="26"/>
      <c r="M38" s="26"/>
      <c r="N38" s="68"/>
      <c r="O38" s="68"/>
      <c r="P38" s="26"/>
      <c r="Q38" s="26"/>
      <c r="R38" s="26"/>
      <c r="S38" s="26"/>
      <c r="T38" s="26"/>
      <c r="U38" s="60"/>
      <c r="V38" s="60"/>
      <c r="W38" s="26"/>
      <c r="X38" s="26"/>
      <c r="Y38" s="26"/>
      <c r="Z38" s="26"/>
      <c r="AA38" s="26"/>
      <c r="AB38" s="60"/>
      <c r="AC38" s="60"/>
      <c r="AD38" s="26"/>
      <c r="AE38" s="26"/>
      <c r="AF38" s="26"/>
      <c r="AG38" s="26"/>
      <c r="AH38" s="26"/>
      <c r="AI38" s="60"/>
      <c r="AJ38" s="60"/>
      <c r="AK38" s="26"/>
      <c r="AL38" s="26"/>
      <c r="AM38" s="26"/>
      <c r="AN38" s="26"/>
    </row>
    <row r="39" spans="1:40">
      <c r="A39">
        <v>38</v>
      </c>
      <c r="B39" s="62">
        <v>101323</v>
      </c>
      <c r="C39" s="70" t="s">
        <v>209</v>
      </c>
      <c r="D39" s="70"/>
      <c r="E39" s="70" t="s">
        <v>157</v>
      </c>
      <c r="F39" s="70">
        <v>40544</v>
      </c>
      <c r="G39" s="70">
        <f t="shared" ca="1" si="0"/>
        <v>45928</v>
      </c>
      <c r="H39" s="70">
        <f t="shared" ca="1" si="2"/>
        <v>14.955555555555556</v>
      </c>
      <c r="I39" s="70" t="s">
        <v>207</v>
      </c>
      <c r="J39" s="26"/>
      <c r="K39" s="26"/>
      <c r="L39" s="26"/>
      <c r="M39" s="26"/>
      <c r="N39" s="68"/>
      <c r="O39" s="68"/>
      <c r="P39" s="26"/>
      <c r="Q39" s="26"/>
      <c r="R39" s="26"/>
      <c r="S39" s="26"/>
      <c r="T39" s="26"/>
      <c r="U39" s="60"/>
      <c r="V39" s="60"/>
      <c r="W39" s="26"/>
      <c r="X39" s="26"/>
      <c r="Y39" s="26"/>
      <c r="Z39" s="26"/>
      <c r="AA39" s="26"/>
      <c r="AB39" s="60"/>
      <c r="AC39" s="60"/>
      <c r="AD39" s="26"/>
      <c r="AE39" s="26"/>
      <c r="AF39" s="26"/>
      <c r="AG39" s="26"/>
      <c r="AH39" s="26"/>
      <c r="AI39" s="60"/>
      <c r="AJ39" s="60"/>
      <c r="AK39" s="26"/>
      <c r="AL39" s="26"/>
      <c r="AM39" s="26"/>
      <c r="AN39" s="26"/>
    </row>
    <row r="40" spans="1:40">
      <c r="A40">
        <v>39</v>
      </c>
      <c r="B40" s="62">
        <v>900252</v>
      </c>
      <c r="C40" s="70" t="s">
        <v>210</v>
      </c>
      <c r="D40" s="70"/>
      <c r="E40" s="70" t="s">
        <v>157</v>
      </c>
      <c r="F40" s="70"/>
      <c r="G40" s="70">
        <f t="shared" ca="1" si="0"/>
        <v>45928</v>
      </c>
      <c r="H40" s="70">
        <f t="shared" ca="1" si="2"/>
        <v>127.57777777777778</v>
      </c>
      <c r="I40" s="70" t="s">
        <v>207</v>
      </c>
      <c r="J40" s="26"/>
      <c r="K40" s="26"/>
      <c r="L40" s="26"/>
      <c r="M40" s="26"/>
      <c r="N40" s="68"/>
      <c r="O40" s="68"/>
      <c r="P40" s="26"/>
      <c r="Q40" s="26"/>
      <c r="R40" s="26"/>
      <c r="S40" s="26"/>
      <c r="T40" s="26"/>
      <c r="U40" s="60"/>
      <c r="V40" s="60"/>
      <c r="W40" s="26"/>
      <c r="X40" s="26"/>
      <c r="Y40" s="26"/>
      <c r="Z40" s="26"/>
      <c r="AA40" s="26"/>
      <c r="AB40" s="60"/>
      <c r="AC40" s="60"/>
      <c r="AD40" s="26"/>
      <c r="AE40" s="26"/>
      <c r="AF40" s="26"/>
      <c r="AG40" s="26"/>
      <c r="AH40" s="26"/>
      <c r="AI40" s="60"/>
      <c r="AJ40" s="60"/>
      <c r="AK40" s="26"/>
      <c r="AL40" s="26"/>
      <c r="AM40" s="26"/>
      <c r="AN40" s="26"/>
    </row>
    <row r="41" spans="1:40">
      <c r="A41">
        <v>40</v>
      </c>
      <c r="B41" s="62">
        <v>101326</v>
      </c>
      <c r="C41" s="70" t="s">
        <v>211</v>
      </c>
      <c r="D41" s="70"/>
      <c r="E41" s="70" t="s">
        <v>157</v>
      </c>
      <c r="F41" s="70">
        <v>40544</v>
      </c>
      <c r="G41" s="70">
        <f t="shared" ca="1" si="0"/>
        <v>45928</v>
      </c>
      <c r="H41" s="70">
        <f ca="1">((G41-F41)/30)/12</f>
        <v>14.955555555555556</v>
      </c>
      <c r="I41" s="70" t="s">
        <v>212</v>
      </c>
      <c r="J41" s="26"/>
      <c r="K41" s="26"/>
      <c r="L41" s="26"/>
      <c r="M41" s="26"/>
      <c r="N41" s="68"/>
      <c r="O41" s="68"/>
      <c r="P41" s="26"/>
      <c r="Q41" s="26"/>
      <c r="R41" s="26"/>
      <c r="S41" s="26"/>
      <c r="T41" s="26"/>
      <c r="U41" s="60"/>
      <c r="V41" s="60"/>
      <c r="W41" s="26"/>
      <c r="X41" s="26"/>
      <c r="Y41" s="26"/>
      <c r="Z41" s="26"/>
      <c r="AA41" s="26"/>
      <c r="AB41" s="60"/>
      <c r="AC41" s="60"/>
      <c r="AD41" s="26"/>
      <c r="AE41" s="26"/>
      <c r="AF41" s="26"/>
      <c r="AG41" s="26"/>
      <c r="AH41" s="26"/>
      <c r="AI41" s="60"/>
      <c r="AJ41" s="60"/>
      <c r="AK41" s="26"/>
      <c r="AL41" s="26"/>
      <c r="AM41" s="26"/>
      <c r="AN41" s="26"/>
    </row>
    <row r="42" spans="1:40">
      <c r="A42">
        <v>41</v>
      </c>
      <c r="B42" s="62">
        <v>2566</v>
      </c>
      <c r="C42" s="70" t="s">
        <v>213</v>
      </c>
      <c r="D42" s="70"/>
      <c r="E42" s="70" t="s">
        <v>171</v>
      </c>
      <c r="F42" s="70">
        <v>43451</v>
      </c>
      <c r="G42" s="70">
        <f t="shared" ca="1" si="0"/>
        <v>45928</v>
      </c>
      <c r="H42" s="70">
        <f t="shared" ref="H42:H53" ca="1" si="3">((G42-F42)/30)/12</f>
        <v>6.8805555555555555</v>
      </c>
      <c r="I42" s="70" t="s">
        <v>214</v>
      </c>
      <c r="J42" s="26"/>
      <c r="K42" s="26"/>
      <c r="L42" s="26"/>
      <c r="M42" s="26"/>
      <c r="N42" s="68"/>
      <c r="O42" s="68"/>
      <c r="P42" s="26"/>
      <c r="Q42" s="26"/>
      <c r="R42" s="26"/>
      <c r="S42" s="26"/>
      <c r="T42" s="26"/>
      <c r="U42" s="60"/>
      <c r="V42" s="60"/>
      <c r="W42" s="26"/>
      <c r="X42" s="26"/>
      <c r="Y42" s="26"/>
      <c r="Z42" s="26"/>
      <c r="AA42" s="26"/>
      <c r="AB42" s="60"/>
      <c r="AC42" s="60"/>
      <c r="AD42" s="26"/>
      <c r="AE42" s="26"/>
      <c r="AF42" s="26"/>
      <c r="AG42" s="26"/>
      <c r="AH42" s="26"/>
      <c r="AI42" s="60"/>
      <c r="AJ42" s="60"/>
      <c r="AK42" s="26"/>
      <c r="AL42" s="26"/>
      <c r="AM42" s="26"/>
      <c r="AN42" s="26"/>
    </row>
    <row r="43" spans="1:40">
      <c r="A43">
        <v>42</v>
      </c>
      <c r="B43" s="62">
        <v>101328</v>
      </c>
      <c r="C43" s="70" t="s">
        <v>215</v>
      </c>
      <c r="D43" s="70"/>
      <c r="E43" s="70" t="s">
        <v>157</v>
      </c>
      <c r="F43" s="70">
        <v>40544</v>
      </c>
      <c r="G43" s="70">
        <f t="shared" ca="1" si="0"/>
        <v>45928</v>
      </c>
      <c r="H43" s="70">
        <f t="shared" ca="1" si="3"/>
        <v>14.955555555555556</v>
      </c>
      <c r="I43" s="70" t="s">
        <v>216</v>
      </c>
      <c r="J43" s="26"/>
      <c r="K43" s="26"/>
      <c r="L43" s="26"/>
      <c r="M43" s="26"/>
      <c r="N43" s="68"/>
      <c r="O43" s="68"/>
      <c r="P43" s="26"/>
      <c r="Q43" s="26"/>
      <c r="R43" s="26"/>
      <c r="S43" s="26"/>
      <c r="T43" s="26"/>
      <c r="U43" s="60"/>
      <c r="V43" s="60"/>
      <c r="W43" s="26"/>
      <c r="X43" s="26"/>
      <c r="Y43" s="26"/>
      <c r="Z43" s="26"/>
      <c r="AA43" s="26"/>
      <c r="AB43" s="60"/>
      <c r="AC43" s="60"/>
      <c r="AD43" s="26"/>
      <c r="AE43" s="26"/>
      <c r="AF43" s="26"/>
      <c r="AG43" s="26"/>
      <c r="AH43" s="26"/>
      <c r="AI43" s="60"/>
      <c r="AJ43" s="60"/>
      <c r="AK43" s="26"/>
      <c r="AL43" s="26"/>
      <c r="AM43" s="26"/>
      <c r="AN43" s="26"/>
    </row>
    <row r="44" spans="1:40">
      <c r="A44">
        <v>43</v>
      </c>
      <c r="B44" s="62">
        <v>2005</v>
      </c>
      <c r="C44" s="70" t="s">
        <v>217</v>
      </c>
      <c r="D44" s="70"/>
      <c r="E44" s="70" t="s">
        <v>171</v>
      </c>
      <c r="F44" s="70">
        <v>40282</v>
      </c>
      <c r="G44" s="70">
        <f t="shared" ca="1" si="0"/>
        <v>45928</v>
      </c>
      <c r="H44" s="70">
        <f t="shared" ca="1" si="3"/>
        <v>15.683333333333332</v>
      </c>
      <c r="I44" s="70" t="s">
        <v>216</v>
      </c>
      <c r="J44" s="26"/>
      <c r="K44" s="26"/>
      <c r="L44" s="26"/>
      <c r="M44" s="26"/>
      <c r="N44" s="68"/>
      <c r="O44" s="68"/>
      <c r="P44" s="26"/>
      <c r="Q44" s="26"/>
      <c r="R44" s="26"/>
      <c r="S44" s="26"/>
      <c r="T44" s="26"/>
      <c r="U44" s="60"/>
      <c r="V44" s="60"/>
      <c r="W44" s="26"/>
      <c r="X44" s="26"/>
      <c r="Y44" s="26"/>
      <c r="Z44" s="26"/>
      <c r="AA44" s="26"/>
      <c r="AB44" s="60"/>
      <c r="AC44" s="60"/>
      <c r="AD44" s="26"/>
      <c r="AE44" s="26"/>
      <c r="AF44" s="26"/>
      <c r="AG44" s="26"/>
      <c r="AH44" s="26"/>
      <c r="AI44" s="60"/>
      <c r="AJ44" s="60"/>
      <c r="AK44" s="26"/>
      <c r="AL44" s="26"/>
      <c r="AM44" s="26"/>
      <c r="AN44" s="26"/>
    </row>
    <row r="45" spans="1:40">
      <c r="A45">
        <v>44</v>
      </c>
      <c r="B45" s="62">
        <v>200506</v>
      </c>
      <c r="C45" s="70" t="s">
        <v>218</v>
      </c>
      <c r="D45" s="70"/>
      <c r="E45" s="70" t="s">
        <v>157</v>
      </c>
      <c r="F45" s="70">
        <v>44840</v>
      </c>
      <c r="G45" s="70">
        <f t="shared" ca="1" si="0"/>
        <v>45928</v>
      </c>
      <c r="H45" s="70">
        <f t="shared" ca="1" si="3"/>
        <v>3.0222222222222221</v>
      </c>
      <c r="I45" s="70" t="s">
        <v>219</v>
      </c>
      <c r="J45" s="26"/>
      <c r="K45" s="26"/>
      <c r="L45" s="26"/>
      <c r="M45" s="26"/>
      <c r="N45" s="68"/>
      <c r="O45" s="68"/>
      <c r="P45" s="26"/>
      <c r="Q45" s="26"/>
      <c r="R45" s="26"/>
      <c r="S45" s="26"/>
      <c r="T45" s="26"/>
      <c r="U45" s="60"/>
      <c r="V45" s="60"/>
      <c r="W45" s="26"/>
      <c r="X45" s="26"/>
      <c r="Y45" s="26"/>
      <c r="Z45" s="26"/>
      <c r="AA45" s="26"/>
      <c r="AB45" s="60"/>
      <c r="AC45" s="60"/>
      <c r="AD45" s="26"/>
      <c r="AE45" s="26"/>
      <c r="AF45" s="26"/>
      <c r="AG45" s="26"/>
      <c r="AH45" s="26"/>
      <c r="AI45" s="60"/>
      <c r="AJ45" s="60"/>
      <c r="AK45" s="26"/>
      <c r="AL45" s="26"/>
      <c r="AM45" s="26"/>
      <c r="AN45" s="26"/>
    </row>
    <row r="46" spans="1:40">
      <c r="A46">
        <v>45</v>
      </c>
      <c r="B46" s="62">
        <v>2003</v>
      </c>
      <c r="C46" s="70" t="s">
        <v>220</v>
      </c>
      <c r="D46" s="70"/>
      <c r="E46" s="70" t="s">
        <v>171</v>
      </c>
      <c r="F46" s="70">
        <v>41709</v>
      </c>
      <c r="G46" s="70">
        <f t="shared" ca="1" si="0"/>
        <v>45928</v>
      </c>
      <c r="H46" s="70">
        <f t="shared" ca="1" si="3"/>
        <v>11.719444444444443</v>
      </c>
      <c r="I46" s="70" t="s">
        <v>219</v>
      </c>
      <c r="J46" s="26"/>
      <c r="K46" s="26"/>
      <c r="L46" s="26"/>
      <c r="M46" s="26"/>
      <c r="N46" s="68"/>
      <c r="O46" s="68"/>
      <c r="P46" s="26"/>
      <c r="Q46" s="26"/>
      <c r="R46" s="26"/>
      <c r="S46" s="26"/>
      <c r="T46" s="26"/>
      <c r="U46" s="60"/>
      <c r="V46" s="60"/>
      <c r="W46" s="26"/>
      <c r="X46" s="26"/>
      <c r="Y46" s="26"/>
      <c r="Z46" s="26"/>
      <c r="AA46" s="26"/>
      <c r="AB46" s="60"/>
      <c r="AC46" s="60"/>
      <c r="AD46" s="26"/>
      <c r="AE46" s="26"/>
      <c r="AF46" s="26"/>
      <c r="AG46" s="26"/>
      <c r="AH46" s="26"/>
      <c r="AI46" s="60"/>
      <c r="AJ46" s="60"/>
      <c r="AK46" s="26"/>
      <c r="AL46" s="26"/>
      <c r="AM46" s="26"/>
      <c r="AN46" s="26"/>
    </row>
    <row r="47" spans="1:40">
      <c r="A47">
        <v>46</v>
      </c>
      <c r="B47" s="62">
        <v>3211</v>
      </c>
      <c r="C47" s="70" t="s">
        <v>221</v>
      </c>
      <c r="D47" s="70"/>
      <c r="E47" s="70" t="s">
        <v>159</v>
      </c>
      <c r="F47" s="70">
        <v>44187</v>
      </c>
      <c r="G47" s="70">
        <f t="shared" ca="1" si="0"/>
        <v>45928</v>
      </c>
      <c r="H47" s="70">
        <f t="shared" ca="1" si="3"/>
        <v>4.8361111111111112</v>
      </c>
      <c r="I47" s="70" t="s">
        <v>219</v>
      </c>
      <c r="J47" s="26"/>
      <c r="K47" s="26"/>
      <c r="L47" s="26"/>
      <c r="M47" s="26"/>
      <c r="N47" s="68"/>
      <c r="O47" s="68"/>
      <c r="P47" s="26"/>
      <c r="Q47" s="26"/>
      <c r="R47" s="26"/>
      <c r="S47" s="26"/>
      <c r="T47" s="26"/>
      <c r="U47" s="60"/>
      <c r="V47" s="60"/>
      <c r="W47" s="26"/>
      <c r="X47" s="26"/>
      <c r="Y47" s="26"/>
      <c r="Z47" s="26"/>
      <c r="AA47" s="26"/>
      <c r="AB47" s="60"/>
      <c r="AC47" s="60"/>
      <c r="AD47" s="26"/>
      <c r="AE47" s="26"/>
      <c r="AF47" s="26"/>
      <c r="AG47" s="26"/>
      <c r="AH47" s="26"/>
      <c r="AI47" s="60"/>
      <c r="AJ47" s="60"/>
      <c r="AK47" s="26"/>
      <c r="AL47" s="26"/>
      <c r="AM47" s="26"/>
      <c r="AN47" s="26"/>
    </row>
    <row r="48" spans="1:40">
      <c r="A48">
        <v>47</v>
      </c>
      <c r="B48" s="62">
        <v>3389</v>
      </c>
      <c r="C48" s="70" t="s">
        <v>222</v>
      </c>
      <c r="D48" s="70"/>
      <c r="E48" s="70" t="s">
        <v>174</v>
      </c>
      <c r="F48" s="70">
        <v>44270</v>
      </c>
      <c r="G48" s="70">
        <f t="shared" ca="1" si="0"/>
        <v>45928</v>
      </c>
      <c r="H48" s="70">
        <f t="shared" ca="1" si="3"/>
        <v>4.6055555555555552</v>
      </c>
      <c r="I48" s="70" t="s">
        <v>128</v>
      </c>
      <c r="J48" s="26"/>
      <c r="K48" s="26"/>
      <c r="L48" s="26"/>
      <c r="M48" s="26"/>
      <c r="N48" s="68"/>
      <c r="O48" s="68"/>
      <c r="P48" s="26"/>
      <c r="Q48" s="26"/>
      <c r="R48" s="26"/>
      <c r="S48" s="26"/>
      <c r="T48" s="26"/>
      <c r="U48" s="60"/>
      <c r="V48" s="60"/>
      <c r="W48" s="26"/>
      <c r="X48" s="26"/>
      <c r="Y48" s="26"/>
      <c r="Z48" s="26"/>
      <c r="AA48" s="26"/>
      <c r="AB48" s="60"/>
      <c r="AC48" s="60"/>
      <c r="AD48" s="26"/>
      <c r="AE48" s="26"/>
      <c r="AF48" s="26"/>
      <c r="AG48" s="26"/>
      <c r="AH48" s="26"/>
      <c r="AI48" s="60"/>
      <c r="AJ48" s="60"/>
      <c r="AK48" s="26"/>
      <c r="AL48" s="26"/>
      <c r="AM48" s="26"/>
      <c r="AN48" s="26"/>
    </row>
    <row r="49" spans="1:40">
      <c r="A49">
        <v>48</v>
      </c>
      <c r="B49" s="62">
        <v>2470</v>
      </c>
      <c r="C49" s="70" t="s">
        <v>223</v>
      </c>
      <c r="D49" s="70"/>
      <c r="E49" s="70" t="s">
        <v>171</v>
      </c>
      <c r="F49" s="70">
        <v>43329</v>
      </c>
      <c r="G49" s="70">
        <f t="shared" ca="1" si="0"/>
        <v>45928</v>
      </c>
      <c r="H49" s="70">
        <f t="shared" ca="1" si="3"/>
        <v>7.219444444444445</v>
      </c>
      <c r="I49" s="70" t="s">
        <v>224</v>
      </c>
      <c r="J49" s="26"/>
      <c r="K49" s="26"/>
      <c r="L49" s="26"/>
      <c r="M49" s="26"/>
      <c r="N49" s="68"/>
      <c r="O49" s="68"/>
      <c r="P49" s="26"/>
      <c r="Q49" s="26"/>
      <c r="R49" s="26"/>
      <c r="S49" s="26"/>
      <c r="T49" s="26"/>
      <c r="U49" s="60"/>
      <c r="V49" s="60"/>
      <c r="W49" s="26"/>
      <c r="X49" s="26"/>
      <c r="Y49" s="26"/>
      <c r="Z49" s="26"/>
      <c r="AA49" s="26"/>
      <c r="AB49" s="60"/>
      <c r="AC49" s="60"/>
      <c r="AD49" s="26"/>
      <c r="AE49" s="26"/>
      <c r="AF49" s="26"/>
      <c r="AG49" s="26"/>
      <c r="AH49" s="26"/>
      <c r="AI49" s="60"/>
      <c r="AJ49" s="60"/>
      <c r="AK49" s="26"/>
      <c r="AL49" s="26"/>
      <c r="AM49" s="26"/>
      <c r="AN49" s="26"/>
    </row>
    <row r="50" spans="1:40">
      <c r="A50">
        <v>49</v>
      </c>
      <c r="B50" s="62">
        <v>101053</v>
      </c>
      <c r="C50" s="70" t="s">
        <v>225</v>
      </c>
      <c r="D50" s="70"/>
      <c r="E50" s="70" t="s">
        <v>157</v>
      </c>
      <c r="F50" s="70">
        <v>40179</v>
      </c>
      <c r="G50" s="70">
        <f t="shared" ca="1" si="0"/>
        <v>45928</v>
      </c>
      <c r="H50" s="70">
        <f t="shared" ca="1" si="3"/>
        <v>15.969444444444443</v>
      </c>
      <c r="I50" s="70" t="s">
        <v>203</v>
      </c>
      <c r="J50" s="26"/>
      <c r="K50" s="26"/>
      <c r="L50" s="26"/>
      <c r="M50" s="26"/>
      <c r="N50" s="68"/>
      <c r="O50" s="68"/>
      <c r="P50" s="26"/>
      <c r="Q50" s="26"/>
      <c r="R50" s="26"/>
      <c r="S50" s="26"/>
      <c r="T50" s="26"/>
      <c r="U50" s="60"/>
      <c r="V50" s="60"/>
      <c r="W50" s="26"/>
      <c r="X50" s="26"/>
      <c r="Y50" s="26"/>
      <c r="Z50" s="26"/>
      <c r="AA50" s="26"/>
      <c r="AB50" s="60"/>
      <c r="AC50" s="60"/>
      <c r="AD50" s="26"/>
      <c r="AE50" s="26"/>
      <c r="AF50" s="26"/>
      <c r="AG50" s="26"/>
      <c r="AH50" s="26"/>
      <c r="AI50" s="60"/>
      <c r="AJ50" s="60"/>
      <c r="AK50" s="26"/>
      <c r="AL50" s="26"/>
      <c r="AM50" s="26"/>
      <c r="AN50" s="26"/>
    </row>
    <row r="51" spans="1:40">
      <c r="A51">
        <v>50</v>
      </c>
      <c r="B51" s="62">
        <v>2034</v>
      </c>
      <c r="C51" s="70" t="s">
        <v>226</v>
      </c>
      <c r="D51" s="70"/>
      <c r="E51" s="70" t="s">
        <v>171</v>
      </c>
      <c r="F51" s="70">
        <v>42983</v>
      </c>
      <c r="G51" s="70">
        <f t="shared" ca="1" si="0"/>
        <v>45928</v>
      </c>
      <c r="H51" s="70">
        <f t="shared" ca="1" si="3"/>
        <v>8.1805555555555554</v>
      </c>
      <c r="I51" s="70" t="s">
        <v>227</v>
      </c>
      <c r="J51" s="26"/>
      <c r="K51" s="26"/>
      <c r="L51" s="26"/>
      <c r="M51" s="26"/>
      <c r="N51" s="68"/>
      <c r="O51" s="68"/>
      <c r="P51" s="26"/>
      <c r="Q51" s="26"/>
      <c r="R51" s="26"/>
      <c r="S51" s="26"/>
      <c r="T51" s="26"/>
      <c r="U51" s="60"/>
      <c r="V51" s="60"/>
      <c r="W51" s="26"/>
      <c r="X51" s="26"/>
      <c r="Y51" s="26"/>
      <c r="Z51" s="26"/>
      <c r="AA51" s="26"/>
      <c r="AB51" s="60"/>
      <c r="AC51" s="60"/>
      <c r="AD51" s="26"/>
      <c r="AE51" s="26"/>
      <c r="AF51" s="26"/>
      <c r="AG51" s="26"/>
      <c r="AH51" s="26"/>
      <c r="AI51" s="60"/>
      <c r="AJ51" s="60"/>
      <c r="AK51" s="26"/>
      <c r="AL51" s="26"/>
      <c r="AM51" s="26"/>
      <c r="AN51" s="26"/>
    </row>
    <row r="52" spans="1:40">
      <c r="A52">
        <v>51</v>
      </c>
      <c r="B52" s="62">
        <v>2012</v>
      </c>
      <c r="C52" s="70" t="s">
        <v>228</v>
      </c>
      <c r="D52" s="70"/>
      <c r="E52" s="70" t="s">
        <v>171</v>
      </c>
      <c r="F52" s="70">
        <v>41418</v>
      </c>
      <c r="G52" s="70">
        <f t="shared" ca="1" si="0"/>
        <v>45928</v>
      </c>
      <c r="H52" s="70">
        <f t="shared" ca="1" si="3"/>
        <v>12.527777777777779</v>
      </c>
      <c r="I52" s="70" t="s">
        <v>229</v>
      </c>
      <c r="J52" s="26"/>
      <c r="K52" s="26"/>
      <c r="L52" s="26"/>
      <c r="M52" s="26"/>
      <c r="N52" s="68"/>
      <c r="O52" s="68"/>
      <c r="P52" s="26"/>
      <c r="Q52" s="26"/>
      <c r="R52" s="26"/>
      <c r="S52" s="26"/>
      <c r="T52" s="26"/>
      <c r="U52" s="60"/>
      <c r="V52" s="60"/>
      <c r="W52" s="26"/>
      <c r="X52" s="26"/>
      <c r="Y52" s="26"/>
      <c r="Z52" s="26"/>
      <c r="AA52" s="26"/>
      <c r="AB52" s="60"/>
      <c r="AC52" s="60"/>
      <c r="AD52" s="26"/>
      <c r="AE52" s="26"/>
      <c r="AF52" s="26"/>
      <c r="AG52" s="26"/>
      <c r="AH52" s="26"/>
      <c r="AI52" s="60"/>
      <c r="AJ52" s="60"/>
      <c r="AK52" s="26"/>
      <c r="AL52" s="26"/>
      <c r="AM52" s="26"/>
      <c r="AN52" s="26"/>
    </row>
    <row r="53" spans="1:40">
      <c r="A53">
        <v>52</v>
      </c>
      <c r="B53" s="62">
        <v>4470</v>
      </c>
      <c r="C53" s="70" t="s">
        <v>230</v>
      </c>
      <c r="D53" s="70"/>
      <c r="E53" s="70" t="s">
        <v>174</v>
      </c>
      <c r="F53" s="70">
        <v>44999</v>
      </c>
      <c r="G53" s="70">
        <f t="shared" ca="1" si="0"/>
        <v>45928</v>
      </c>
      <c r="H53" s="70">
        <f t="shared" ca="1" si="3"/>
        <v>2.5805555555555553</v>
      </c>
      <c r="I53" s="70" t="s">
        <v>231</v>
      </c>
      <c r="J53" s="26"/>
      <c r="K53" s="26"/>
      <c r="L53" s="26"/>
      <c r="M53" s="26"/>
      <c r="N53" s="68"/>
      <c r="O53" s="68"/>
      <c r="P53" s="26"/>
      <c r="Q53" s="26"/>
      <c r="R53" s="26"/>
      <c r="S53" s="26"/>
      <c r="T53" s="26"/>
      <c r="U53" s="60"/>
      <c r="V53" s="60"/>
      <c r="W53" s="26"/>
      <c r="X53" s="26"/>
      <c r="Y53" s="26"/>
      <c r="Z53" s="26"/>
      <c r="AA53" s="26"/>
      <c r="AB53" s="60"/>
      <c r="AC53" s="60"/>
      <c r="AD53" s="26"/>
      <c r="AE53" s="26"/>
      <c r="AF53" s="26"/>
      <c r="AG53" s="26"/>
      <c r="AH53" s="26"/>
      <c r="AI53" s="60"/>
      <c r="AJ53" s="60"/>
      <c r="AK53" s="26"/>
      <c r="AL53" s="26"/>
      <c r="AM53" s="26"/>
      <c r="AN53" s="26"/>
    </row>
    <row r="54" spans="1:40">
      <c r="A54">
        <v>53</v>
      </c>
      <c r="B54" s="62">
        <v>3027</v>
      </c>
      <c r="C54" s="70" t="s">
        <v>234</v>
      </c>
      <c r="D54" s="70"/>
      <c r="E54" s="70" t="s">
        <v>171</v>
      </c>
      <c r="F54" s="70">
        <v>44095</v>
      </c>
      <c r="G54" s="70">
        <v>45917</v>
      </c>
      <c r="H54" s="70">
        <v>5.0611111111111109</v>
      </c>
      <c r="I54" s="70" t="s">
        <v>235</v>
      </c>
      <c r="J54" s="26"/>
      <c r="K54" s="26"/>
      <c r="L54" s="26"/>
      <c r="M54" s="26"/>
      <c r="N54" s="61"/>
      <c r="O54" s="61"/>
      <c r="P54" s="26"/>
      <c r="Q54" s="26"/>
      <c r="R54" s="26"/>
      <c r="S54" s="26"/>
      <c r="T54" s="26"/>
      <c r="U54" s="61"/>
      <c r="V54" s="61"/>
      <c r="W54" s="26"/>
      <c r="X54" s="26"/>
      <c r="Y54" s="26"/>
      <c r="Z54" s="26"/>
      <c r="AA54" s="26"/>
      <c r="AB54" s="61"/>
      <c r="AC54" s="61"/>
      <c r="AD54" s="26"/>
      <c r="AE54" s="26"/>
      <c r="AF54" s="26"/>
      <c r="AG54" s="26"/>
      <c r="AH54" s="26"/>
      <c r="AI54" s="61"/>
      <c r="AJ54" s="61"/>
      <c r="AK54" s="26"/>
      <c r="AL54" s="26"/>
      <c r="AM54" s="26"/>
      <c r="AN54" s="26"/>
    </row>
    <row r="55" spans="1:40">
      <c r="A55">
        <v>54</v>
      </c>
      <c r="B55" s="62">
        <v>5158</v>
      </c>
      <c r="C55" s="70" t="s">
        <v>268</v>
      </c>
      <c r="D55" s="70"/>
      <c r="E55" s="70" t="s">
        <v>269</v>
      </c>
      <c r="F55" s="70">
        <v>45488</v>
      </c>
      <c r="G55" s="70">
        <v>45917</v>
      </c>
      <c r="H55" s="70">
        <v>1.1916666666666667</v>
      </c>
      <c r="I55" s="70" t="s">
        <v>235</v>
      </c>
      <c r="J55" s="26"/>
      <c r="K55" s="26"/>
      <c r="L55" s="26"/>
      <c r="M55" s="26"/>
      <c r="N55" s="61"/>
      <c r="O55" s="61"/>
      <c r="P55" s="26"/>
      <c r="Q55" s="26"/>
      <c r="R55" s="26"/>
      <c r="S55" s="26"/>
      <c r="T55" s="26"/>
      <c r="U55" s="61"/>
      <c r="V55" s="61"/>
      <c r="W55" s="26"/>
      <c r="X55" s="26"/>
      <c r="Y55" s="26"/>
      <c r="Z55" s="26"/>
      <c r="AA55" s="26"/>
      <c r="AB55" s="61"/>
      <c r="AC55" s="61"/>
      <c r="AD55" s="26"/>
      <c r="AE55" s="26"/>
      <c r="AF55" s="26"/>
      <c r="AG55" s="26"/>
      <c r="AH55" s="26"/>
      <c r="AI55" s="61"/>
      <c r="AJ55" s="61"/>
      <c r="AK55" s="26"/>
      <c r="AL55" s="26"/>
      <c r="AM55" s="26"/>
      <c r="AN55" s="26"/>
    </row>
    <row r="56" spans="1:40">
      <c r="A56">
        <v>55</v>
      </c>
      <c r="B56" s="62">
        <v>5185</v>
      </c>
      <c r="C56" s="70" t="s">
        <v>270</v>
      </c>
      <c r="D56" s="70"/>
      <c r="E56" s="70" t="s">
        <v>269</v>
      </c>
      <c r="F56" s="70">
        <v>45509</v>
      </c>
      <c r="G56" s="70">
        <v>45917</v>
      </c>
      <c r="H56" s="70">
        <v>1.1333333333333333</v>
      </c>
      <c r="I56" s="70" t="s">
        <v>235</v>
      </c>
      <c r="J56" s="26"/>
      <c r="K56" s="26"/>
      <c r="L56" s="26"/>
      <c r="M56" s="26"/>
      <c r="N56" s="61"/>
      <c r="O56" s="61"/>
      <c r="P56" s="26"/>
      <c r="Q56" s="26"/>
      <c r="R56" s="26"/>
      <c r="S56" s="26"/>
      <c r="T56" s="26"/>
      <c r="U56" s="61"/>
      <c r="V56" s="61"/>
      <c r="W56" s="26"/>
      <c r="X56" s="26"/>
      <c r="Y56" s="26"/>
      <c r="Z56" s="26"/>
      <c r="AA56" s="26"/>
      <c r="AB56" s="61"/>
      <c r="AC56" s="61"/>
      <c r="AD56" s="26"/>
      <c r="AE56" s="26"/>
      <c r="AF56" s="26"/>
      <c r="AG56" s="26"/>
      <c r="AH56" s="26"/>
      <c r="AI56" s="61"/>
      <c r="AJ56" s="61"/>
      <c r="AK56" s="26"/>
      <c r="AL56" s="26"/>
      <c r="AM56" s="26"/>
      <c r="AN56" s="26"/>
    </row>
    <row r="57" spans="1:40">
      <c r="A57">
        <v>56</v>
      </c>
      <c r="B57" s="62">
        <v>101329</v>
      </c>
      <c r="C57" s="70" t="s">
        <v>272</v>
      </c>
      <c r="D57" s="70"/>
      <c r="E57" s="70" t="s">
        <v>157</v>
      </c>
      <c r="F57" s="70">
        <v>40544</v>
      </c>
      <c r="G57" s="70">
        <v>45917</v>
      </c>
      <c r="H57" s="70">
        <v>14.924999999999999</v>
      </c>
      <c r="I57" s="70" t="s">
        <v>271</v>
      </c>
      <c r="J57" s="26"/>
      <c r="K57" s="26"/>
      <c r="L57" s="26"/>
      <c r="M57" s="26"/>
      <c r="N57" s="61"/>
      <c r="O57" s="61"/>
      <c r="P57" s="26"/>
      <c r="Q57" s="26"/>
      <c r="R57" s="26"/>
      <c r="S57" s="26"/>
      <c r="T57" s="26"/>
      <c r="U57" s="61"/>
      <c r="V57" s="61"/>
      <c r="W57" s="26"/>
      <c r="X57" s="26"/>
      <c r="Y57" s="26"/>
      <c r="Z57" s="26"/>
      <c r="AA57" s="26"/>
      <c r="AB57" s="61"/>
      <c r="AC57" s="61"/>
      <c r="AD57" s="26"/>
      <c r="AE57" s="26"/>
      <c r="AF57" s="26"/>
      <c r="AG57" s="26"/>
      <c r="AH57" s="26"/>
      <c r="AI57" s="61"/>
      <c r="AJ57" s="61"/>
      <c r="AK57" s="26"/>
      <c r="AL57" s="26"/>
      <c r="AM57" s="26"/>
      <c r="AN57" s="26"/>
    </row>
    <row r="58" spans="1:40">
      <c r="A58">
        <v>57</v>
      </c>
      <c r="B58" s="62">
        <v>578</v>
      </c>
      <c r="C58" s="70" t="s">
        <v>273</v>
      </c>
      <c r="D58" s="70"/>
      <c r="E58" s="70" t="s">
        <v>159</v>
      </c>
      <c r="F58" s="70">
        <v>40503</v>
      </c>
      <c r="G58" s="70">
        <v>45917</v>
      </c>
      <c r="H58" s="70">
        <v>15.03888888888889</v>
      </c>
      <c r="I58" s="70" t="s">
        <v>274</v>
      </c>
      <c r="J58" s="26"/>
      <c r="K58" s="26"/>
      <c r="L58" s="26"/>
      <c r="M58" s="26"/>
      <c r="N58" s="61"/>
      <c r="O58" s="61"/>
      <c r="P58" s="26"/>
      <c r="Q58" s="26"/>
      <c r="R58" s="26"/>
      <c r="S58" s="26"/>
      <c r="T58" s="26"/>
      <c r="U58" s="61"/>
      <c r="V58" s="61"/>
      <c r="W58" s="26"/>
      <c r="X58" s="26"/>
      <c r="Y58" s="26"/>
      <c r="Z58" s="26"/>
      <c r="AA58" s="26"/>
      <c r="AB58" s="61"/>
      <c r="AC58" s="61"/>
      <c r="AD58" s="26"/>
      <c r="AE58" s="26"/>
      <c r="AF58" s="26"/>
      <c r="AG58" s="26"/>
      <c r="AH58" s="26"/>
      <c r="AI58" s="61"/>
      <c r="AJ58" s="61"/>
      <c r="AK58" s="26"/>
      <c r="AL58" s="26"/>
      <c r="AM58" s="26"/>
      <c r="AN58" s="26"/>
    </row>
    <row r="59" spans="1:40">
      <c r="A59">
        <v>58</v>
      </c>
      <c r="B59" s="62">
        <v>2009</v>
      </c>
      <c r="C59" s="70" t="s">
        <v>275</v>
      </c>
      <c r="D59" s="70"/>
      <c r="E59" s="70" t="s">
        <v>171</v>
      </c>
      <c r="F59" s="70">
        <v>44205</v>
      </c>
      <c r="G59" s="70">
        <v>45917</v>
      </c>
      <c r="H59" s="70">
        <v>4.7555555555555555</v>
      </c>
      <c r="I59" s="70" t="s">
        <v>274</v>
      </c>
      <c r="J59" s="26"/>
      <c r="K59" s="26"/>
      <c r="L59" s="26"/>
      <c r="M59" s="26"/>
      <c r="N59" s="61"/>
      <c r="O59" s="61"/>
      <c r="P59" s="26"/>
      <c r="Q59" s="26"/>
      <c r="R59" s="26"/>
      <c r="S59" s="26"/>
      <c r="T59" s="26"/>
      <c r="U59" s="61"/>
      <c r="V59" s="61"/>
      <c r="W59" s="26"/>
      <c r="X59" s="26"/>
      <c r="Y59" s="26"/>
      <c r="Z59" s="26"/>
      <c r="AA59" s="26"/>
      <c r="AB59" s="61"/>
      <c r="AC59" s="61"/>
      <c r="AD59" s="26"/>
      <c r="AE59" s="26"/>
      <c r="AF59" s="26"/>
      <c r="AG59" s="26"/>
      <c r="AH59" s="26"/>
      <c r="AI59" s="61"/>
      <c r="AJ59" s="61"/>
      <c r="AK59" s="26"/>
      <c r="AL59" s="26"/>
      <c r="AM59" s="26"/>
      <c r="AN59" s="26"/>
    </row>
    <row r="60" spans="1:40">
      <c r="A60">
        <v>59</v>
      </c>
      <c r="B60" s="62">
        <v>3639</v>
      </c>
      <c r="C60" s="70" t="s">
        <v>276</v>
      </c>
      <c r="D60" s="70"/>
      <c r="E60" s="70" t="s">
        <v>159</v>
      </c>
      <c r="F60" s="70">
        <v>44426</v>
      </c>
      <c r="G60" s="70">
        <v>45917</v>
      </c>
      <c r="H60" s="70">
        <v>4.1416666666666666</v>
      </c>
      <c r="I60" s="70" t="s">
        <v>274</v>
      </c>
      <c r="J60" s="26"/>
      <c r="K60" s="26"/>
      <c r="L60" s="26"/>
      <c r="M60" s="26"/>
      <c r="N60" s="61"/>
      <c r="O60" s="61"/>
      <c r="P60" s="26"/>
      <c r="Q60" s="26"/>
      <c r="R60" s="26"/>
      <c r="S60" s="26"/>
      <c r="T60" s="26"/>
      <c r="U60" s="61"/>
      <c r="V60" s="61"/>
      <c r="W60" s="26"/>
      <c r="X60" s="26"/>
      <c r="Y60" s="26"/>
      <c r="Z60" s="26"/>
      <c r="AA60" s="26"/>
      <c r="AB60" s="61"/>
      <c r="AC60" s="61"/>
      <c r="AD60" s="26"/>
      <c r="AE60" s="26"/>
      <c r="AF60" s="26"/>
      <c r="AG60" s="26"/>
      <c r="AH60" s="26"/>
      <c r="AI60" s="61"/>
      <c r="AJ60" s="61"/>
      <c r="AK60" s="26"/>
      <c r="AL60" s="26"/>
      <c r="AM60" s="26"/>
      <c r="AN60" s="26"/>
    </row>
    <row r="61" spans="1:40">
      <c r="A61">
        <v>60</v>
      </c>
      <c r="B61" s="62">
        <v>4351</v>
      </c>
      <c r="C61" s="70" t="s">
        <v>277</v>
      </c>
      <c r="D61" s="70"/>
      <c r="E61" s="70" t="s">
        <v>171</v>
      </c>
      <c r="F61" s="70">
        <v>44911</v>
      </c>
      <c r="G61" s="70">
        <v>45917</v>
      </c>
      <c r="H61" s="70">
        <v>2.7944444444444443</v>
      </c>
      <c r="I61" s="70" t="s">
        <v>278</v>
      </c>
      <c r="J61" s="26"/>
      <c r="K61" s="26"/>
      <c r="L61" s="26"/>
      <c r="M61" s="26"/>
      <c r="N61" s="61"/>
      <c r="O61" s="61"/>
      <c r="P61" s="26"/>
      <c r="Q61" s="26"/>
      <c r="R61" s="26"/>
      <c r="S61" s="26"/>
      <c r="T61" s="26"/>
      <c r="U61" s="61"/>
      <c r="V61" s="61"/>
      <c r="W61" s="26"/>
      <c r="X61" s="26"/>
      <c r="Y61" s="26"/>
      <c r="Z61" s="26"/>
      <c r="AA61" s="26"/>
      <c r="AB61" s="61"/>
      <c r="AC61" s="61"/>
      <c r="AD61" s="26"/>
      <c r="AE61" s="26"/>
      <c r="AF61" s="26"/>
      <c r="AG61" s="26"/>
      <c r="AH61" s="26"/>
      <c r="AI61" s="61"/>
      <c r="AJ61" s="61"/>
      <c r="AK61" s="26"/>
      <c r="AL61" s="26"/>
      <c r="AM61" s="26"/>
      <c r="AN61" s="26"/>
    </row>
    <row r="62" spans="1:40">
      <c r="A62">
        <v>61</v>
      </c>
      <c r="B62" s="62">
        <v>4786</v>
      </c>
      <c r="C62" s="70" t="s">
        <v>279</v>
      </c>
      <c r="D62" s="70"/>
      <c r="E62" s="70" t="s">
        <v>174</v>
      </c>
      <c r="F62" s="70">
        <v>45257</v>
      </c>
      <c r="G62" s="70">
        <v>45917</v>
      </c>
      <c r="H62" s="70">
        <v>1.8333333333333333</v>
      </c>
      <c r="I62" s="70" t="s">
        <v>231</v>
      </c>
      <c r="J62" s="26"/>
      <c r="K62" s="26"/>
      <c r="L62" s="26"/>
      <c r="M62" s="26"/>
      <c r="N62" s="61"/>
      <c r="O62" s="61"/>
      <c r="P62" s="26"/>
      <c r="Q62" s="26"/>
      <c r="R62" s="26"/>
      <c r="S62" s="26"/>
      <c r="T62" s="26"/>
      <c r="U62" s="61"/>
      <c r="V62" s="61"/>
      <c r="W62" s="26"/>
      <c r="X62" s="26"/>
      <c r="Y62" s="26"/>
      <c r="Z62" s="26"/>
      <c r="AA62" s="26"/>
      <c r="AB62" s="61"/>
      <c r="AC62" s="61"/>
      <c r="AD62" s="26"/>
      <c r="AE62" s="26"/>
      <c r="AF62" s="26"/>
      <c r="AG62" s="26"/>
      <c r="AH62" s="26"/>
      <c r="AI62" s="61"/>
      <c r="AJ62" s="61"/>
      <c r="AK62" s="26"/>
      <c r="AL62" s="26"/>
      <c r="AM62" s="26"/>
      <c r="AN62" s="26"/>
    </row>
    <row r="63" spans="1:40">
      <c r="A63">
        <v>62</v>
      </c>
      <c r="B63" s="62">
        <v>4982</v>
      </c>
      <c r="C63" s="70" t="s">
        <v>280</v>
      </c>
      <c r="D63" s="70"/>
      <c r="E63" s="70" t="s">
        <v>174</v>
      </c>
      <c r="F63" s="70">
        <v>45362</v>
      </c>
      <c r="G63" s="70">
        <v>45917</v>
      </c>
      <c r="H63" s="70">
        <v>1.5416666666666667</v>
      </c>
      <c r="I63" s="70" t="s">
        <v>281</v>
      </c>
      <c r="J63" s="26"/>
      <c r="K63" s="26"/>
      <c r="L63" s="26"/>
      <c r="M63" s="26"/>
      <c r="N63" s="61"/>
      <c r="O63" s="61"/>
      <c r="P63" s="26"/>
      <c r="Q63" s="26"/>
      <c r="R63" s="26"/>
      <c r="S63" s="26"/>
      <c r="T63" s="26"/>
      <c r="U63" s="61"/>
      <c r="V63" s="61"/>
      <c r="W63" s="26"/>
      <c r="X63" s="26"/>
      <c r="Y63" s="26"/>
      <c r="Z63" s="26"/>
      <c r="AA63" s="26"/>
      <c r="AB63" s="61"/>
      <c r="AC63" s="61"/>
      <c r="AD63" s="26"/>
      <c r="AE63" s="26"/>
      <c r="AF63" s="26"/>
      <c r="AG63" s="26"/>
      <c r="AH63" s="26"/>
      <c r="AI63" s="61"/>
      <c r="AJ63" s="61"/>
      <c r="AK63" s="26"/>
      <c r="AL63" s="26"/>
      <c r="AM63" s="26"/>
      <c r="AN63" s="26"/>
    </row>
    <row r="64" spans="1:40">
      <c r="A64">
        <v>63</v>
      </c>
      <c r="B64" s="62">
        <v>5318</v>
      </c>
      <c r="C64" s="70" t="s">
        <v>282</v>
      </c>
      <c r="D64" s="70"/>
      <c r="E64" s="70" t="s">
        <v>269</v>
      </c>
      <c r="F64" s="70">
        <v>45637</v>
      </c>
      <c r="G64" s="70">
        <v>45917</v>
      </c>
      <c r="H64" s="70">
        <v>0.77777777777777779</v>
      </c>
      <c r="I64" s="70" t="s">
        <v>283</v>
      </c>
      <c r="J64" s="26"/>
      <c r="K64" s="26"/>
      <c r="L64" s="26"/>
      <c r="M64" s="26"/>
      <c r="N64" s="61"/>
      <c r="O64" s="61"/>
      <c r="P64" s="26"/>
      <c r="Q64" s="26"/>
      <c r="R64" s="26"/>
      <c r="S64" s="26"/>
      <c r="T64" s="26"/>
      <c r="U64" s="61"/>
      <c r="V64" s="61"/>
      <c r="W64" s="26"/>
      <c r="X64" s="26"/>
      <c r="Y64" s="26"/>
      <c r="Z64" s="26"/>
      <c r="AA64" s="26"/>
      <c r="AB64" s="61"/>
      <c r="AC64" s="61"/>
      <c r="AD64" s="26"/>
      <c r="AE64" s="26"/>
      <c r="AF64" s="26"/>
      <c r="AG64" s="26"/>
      <c r="AH64" s="26"/>
      <c r="AI64" s="61"/>
      <c r="AJ64" s="61"/>
      <c r="AK64" s="26"/>
      <c r="AL64" s="26"/>
      <c r="AM64" s="26"/>
      <c r="AN64" s="26"/>
    </row>
    <row r="65" spans="1:40">
      <c r="A65">
        <v>64</v>
      </c>
      <c r="B65" s="62">
        <v>5365</v>
      </c>
      <c r="C65" s="70" t="s">
        <v>284</v>
      </c>
      <c r="D65" s="70"/>
      <c r="E65" s="70" t="s">
        <v>269</v>
      </c>
      <c r="F65" s="70">
        <v>45678</v>
      </c>
      <c r="G65" s="70">
        <v>45917</v>
      </c>
      <c r="H65" s="70">
        <v>0.66388888888888886</v>
      </c>
      <c r="I65" s="70" t="s">
        <v>285</v>
      </c>
      <c r="J65" s="26"/>
      <c r="K65" s="26"/>
      <c r="L65" s="26"/>
      <c r="M65" s="26"/>
      <c r="N65" s="61"/>
      <c r="O65" s="61"/>
      <c r="P65" s="26"/>
      <c r="Q65" s="26"/>
      <c r="R65" s="26"/>
      <c r="S65" s="26"/>
      <c r="T65" s="26"/>
      <c r="U65" s="61"/>
      <c r="V65" s="61"/>
      <c r="W65" s="26"/>
      <c r="X65" s="26"/>
      <c r="Y65" s="26"/>
      <c r="Z65" s="26"/>
      <c r="AA65" s="26"/>
      <c r="AB65" s="61"/>
      <c r="AC65" s="61"/>
      <c r="AD65" s="26"/>
      <c r="AE65" s="26"/>
      <c r="AF65" s="26"/>
      <c r="AG65" s="26"/>
      <c r="AH65" s="26"/>
      <c r="AI65" s="61"/>
      <c r="AJ65" s="61"/>
      <c r="AK65" s="26"/>
      <c r="AL65" s="26"/>
      <c r="AM65" s="26"/>
      <c r="AN65" s="26"/>
    </row>
    <row r="66" spans="1:40">
      <c r="A66">
        <v>65</v>
      </c>
      <c r="B66" s="62">
        <v>2728</v>
      </c>
      <c r="C66" s="70" t="s">
        <v>286</v>
      </c>
      <c r="D66" s="70"/>
      <c r="E66" s="70" t="s">
        <v>171</v>
      </c>
      <c r="F66" s="70">
        <v>43602</v>
      </c>
      <c r="G66" s="70">
        <v>45917</v>
      </c>
      <c r="H66" s="70">
        <v>6.4305555555555562</v>
      </c>
      <c r="I66" s="70" t="s">
        <v>287</v>
      </c>
      <c r="J66" s="26"/>
      <c r="K66" s="26"/>
      <c r="L66" s="26"/>
      <c r="M66" s="26"/>
      <c r="N66" s="61"/>
      <c r="O66" s="61"/>
      <c r="P66" s="26"/>
      <c r="Q66" s="26"/>
      <c r="R66" s="26"/>
      <c r="S66" s="26"/>
      <c r="T66" s="26"/>
      <c r="U66" s="61"/>
      <c r="V66" s="61"/>
      <c r="W66" s="26"/>
      <c r="X66" s="26"/>
      <c r="Y66" s="26"/>
      <c r="Z66" s="26"/>
      <c r="AA66" s="26"/>
      <c r="AB66" s="61"/>
      <c r="AC66" s="61"/>
      <c r="AD66" s="26"/>
      <c r="AE66" s="26"/>
      <c r="AF66" s="26"/>
      <c r="AG66" s="26"/>
      <c r="AH66" s="26"/>
      <c r="AI66" s="61"/>
      <c r="AJ66" s="61"/>
      <c r="AK66" s="26"/>
      <c r="AL66" s="26"/>
      <c r="AM66" s="26"/>
      <c r="AN66" s="26"/>
    </row>
    <row r="67" spans="1:40">
      <c r="A67">
        <v>66</v>
      </c>
      <c r="B67" s="62">
        <v>5725</v>
      </c>
      <c r="C67" s="70" t="s">
        <v>288</v>
      </c>
      <c r="D67" s="70"/>
      <c r="E67" s="70" t="s">
        <v>171</v>
      </c>
      <c r="F67" s="70">
        <v>45852</v>
      </c>
      <c r="G67" s="70">
        <v>45917</v>
      </c>
      <c r="H67" s="70">
        <v>0.18055555555555555</v>
      </c>
      <c r="I67" s="70" t="s">
        <v>289</v>
      </c>
      <c r="J67" s="26"/>
      <c r="K67" s="26"/>
      <c r="L67" s="26"/>
      <c r="M67" s="26"/>
      <c r="N67" s="61"/>
      <c r="O67" s="61"/>
      <c r="P67" s="26"/>
      <c r="Q67" s="26"/>
      <c r="R67" s="26"/>
      <c r="S67" s="26"/>
      <c r="T67" s="26"/>
      <c r="U67" s="61"/>
      <c r="V67" s="61"/>
      <c r="W67" s="26"/>
      <c r="X67" s="26"/>
      <c r="Y67" s="26"/>
      <c r="Z67" s="26"/>
      <c r="AA67" s="26"/>
      <c r="AB67" s="61"/>
      <c r="AC67" s="61"/>
      <c r="AD67" s="26"/>
      <c r="AE67" s="26"/>
      <c r="AF67" s="26"/>
      <c r="AG67" s="26"/>
      <c r="AH67" s="26"/>
      <c r="AI67" s="61"/>
      <c r="AJ67" s="61"/>
      <c r="AK67" s="26"/>
      <c r="AL67" s="26"/>
      <c r="AM67" s="26"/>
      <c r="AN67" s="26"/>
    </row>
    <row r="68" spans="1:40">
      <c r="A68">
        <v>67</v>
      </c>
      <c r="B68" s="62">
        <v>5726</v>
      </c>
      <c r="C68" s="70" t="s">
        <v>290</v>
      </c>
      <c r="D68" s="70"/>
      <c r="E68" s="70" t="s">
        <v>171</v>
      </c>
      <c r="F68" s="70">
        <v>45852</v>
      </c>
      <c r="G68" s="70">
        <v>45917</v>
      </c>
      <c r="H68" s="70">
        <v>0.18055555555555555</v>
      </c>
      <c r="I68" s="70" t="s">
        <v>289</v>
      </c>
      <c r="J68" s="26"/>
      <c r="K68" s="26"/>
      <c r="L68" s="26"/>
      <c r="M68" s="26"/>
      <c r="N68" s="61"/>
      <c r="O68" s="61"/>
      <c r="P68" s="26"/>
      <c r="Q68" s="26"/>
      <c r="R68" s="26"/>
      <c r="S68" s="26"/>
      <c r="T68" s="26"/>
      <c r="U68" s="61"/>
      <c r="V68" s="61"/>
      <c r="W68" s="26"/>
      <c r="X68" s="26"/>
      <c r="Y68" s="26"/>
      <c r="Z68" s="26"/>
      <c r="AA68" s="26"/>
      <c r="AB68" s="61"/>
      <c r="AC68" s="61"/>
      <c r="AD68" s="26"/>
      <c r="AE68" s="26"/>
      <c r="AF68" s="26"/>
      <c r="AG68" s="26"/>
      <c r="AH68" s="26"/>
      <c r="AI68" s="61"/>
      <c r="AJ68" s="61"/>
      <c r="AK68" s="26"/>
      <c r="AL68" s="26"/>
      <c r="AM68" s="26"/>
      <c r="AN68" s="26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5D3B3-01CC-4988-8D28-21126D6FFF1B}">
  <dimension ref="A2:I11"/>
  <sheetViews>
    <sheetView tabSelected="1" workbookViewId="0">
      <selection activeCell="J6" sqref="J6"/>
    </sheetView>
  </sheetViews>
  <sheetFormatPr defaultRowHeight="14.5"/>
  <cols>
    <col min="1" max="1" width="27.81640625" bestFit="1" customWidth="1"/>
    <col min="5" max="5" width="19.1796875" customWidth="1"/>
    <col min="6" max="6" width="9.1796875" customWidth="1"/>
    <col min="7" max="7" width="12.6328125" customWidth="1"/>
    <col min="8" max="8" width="16.7265625" customWidth="1"/>
  </cols>
  <sheetData>
    <row r="2" spans="1:9">
      <c r="A2" t="s">
        <v>297</v>
      </c>
      <c r="B2" t="s">
        <v>298</v>
      </c>
      <c r="C2" t="s">
        <v>299</v>
      </c>
      <c r="D2" t="s">
        <v>269</v>
      </c>
      <c r="E2" t="s">
        <v>300</v>
      </c>
      <c r="F2" t="s">
        <v>301</v>
      </c>
      <c r="G2" t="s">
        <v>302</v>
      </c>
      <c r="H2" t="s">
        <v>303</v>
      </c>
      <c r="I2" t="s">
        <v>304</v>
      </c>
    </row>
    <row r="3" spans="1:9">
      <c r="A3" t="s">
        <v>183</v>
      </c>
      <c r="B3">
        <v>1</v>
      </c>
      <c r="C3">
        <v>2</v>
      </c>
      <c r="D3">
        <v>0</v>
      </c>
      <c r="E3">
        <v>1</v>
      </c>
      <c r="F3">
        <f>SUM(B3:D3)</f>
        <v>3</v>
      </c>
      <c r="G3">
        <v>66</v>
      </c>
      <c r="H3">
        <v>0</v>
      </c>
      <c r="I3">
        <v>0</v>
      </c>
    </row>
    <row r="4" spans="1:9">
      <c r="A4" t="s">
        <v>291</v>
      </c>
      <c r="B4">
        <v>1</v>
      </c>
      <c r="C4">
        <v>1</v>
      </c>
      <c r="D4">
        <v>0</v>
      </c>
      <c r="E4">
        <v>1</v>
      </c>
      <c r="F4">
        <f>SUM(B4:D4)</f>
        <v>2</v>
      </c>
      <c r="G4">
        <v>45</v>
      </c>
      <c r="H4">
        <v>0</v>
      </c>
      <c r="I4">
        <v>0</v>
      </c>
    </row>
    <row r="5" spans="1:9">
      <c r="A5" t="s">
        <v>292</v>
      </c>
      <c r="B5">
        <v>2</v>
      </c>
      <c r="C5">
        <v>0</v>
      </c>
      <c r="D5">
        <v>0</v>
      </c>
      <c r="E5">
        <v>2</v>
      </c>
      <c r="F5">
        <f t="shared" ref="F5:F11" si="0">SUM(B5:D5)</f>
        <v>2</v>
      </c>
      <c r="G5">
        <v>36</v>
      </c>
      <c r="H5">
        <v>0</v>
      </c>
      <c r="I5">
        <v>0</v>
      </c>
    </row>
    <row r="6" spans="1:9">
      <c r="A6" t="s">
        <v>293</v>
      </c>
      <c r="B6">
        <v>5</v>
      </c>
      <c r="C6">
        <v>3</v>
      </c>
      <c r="D6">
        <v>0</v>
      </c>
      <c r="E6">
        <v>2</v>
      </c>
      <c r="F6">
        <f>SUM(B6:D6)</f>
        <v>8</v>
      </c>
      <c r="G6">
        <v>30</v>
      </c>
      <c r="H6">
        <v>0</v>
      </c>
      <c r="I6">
        <v>0</v>
      </c>
    </row>
    <row r="7" spans="1:9">
      <c r="A7" s="71" t="s">
        <v>294</v>
      </c>
      <c r="B7">
        <v>11</v>
      </c>
      <c r="C7">
        <v>5</v>
      </c>
      <c r="D7">
        <v>0</v>
      </c>
      <c r="E7">
        <v>2</v>
      </c>
      <c r="F7">
        <f t="shared" ref="F7:F8" si="1">SUM(B7:D7)</f>
        <v>16</v>
      </c>
      <c r="G7">
        <v>30</v>
      </c>
      <c r="H7">
        <v>0</v>
      </c>
      <c r="I7">
        <v>0</v>
      </c>
    </row>
    <row r="8" spans="1:9">
      <c r="A8" t="s">
        <v>295</v>
      </c>
      <c r="B8">
        <v>2</v>
      </c>
      <c r="C8">
        <v>1</v>
      </c>
      <c r="D8">
        <v>0</v>
      </c>
      <c r="E8">
        <v>1</v>
      </c>
      <c r="F8">
        <f t="shared" si="1"/>
        <v>3</v>
      </c>
      <c r="G8">
        <v>66</v>
      </c>
      <c r="H8">
        <v>0</v>
      </c>
      <c r="I8">
        <v>0</v>
      </c>
    </row>
    <row r="9" spans="1:9">
      <c r="A9" t="s">
        <v>296</v>
      </c>
      <c r="B9">
        <v>1</v>
      </c>
      <c r="C9">
        <v>4</v>
      </c>
      <c r="D9">
        <v>0</v>
      </c>
      <c r="E9">
        <v>1</v>
      </c>
      <c r="F9">
        <f t="shared" si="0"/>
        <v>5</v>
      </c>
      <c r="G9">
        <v>66</v>
      </c>
      <c r="H9">
        <v>0</v>
      </c>
      <c r="I9">
        <v>0</v>
      </c>
    </row>
    <row r="10" spans="1:9">
      <c r="A10" t="s">
        <v>123</v>
      </c>
      <c r="B10">
        <v>2</v>
      </c>
      <c r="C10">
        <v>1</v>
      </c>
      <c r="D10">
        <v>0</v>
      </c>
      <c r="E10">
        <v>2</v>
      </c>
      <c r="F10">
        <f t="shared" si="0"/>
        <v>3</v>
      </c>
      <c r="G10">
        <v>30</v>
      </c>
      <c r="H10">
        <v>0</v>
      </c>
      <c r="I10">
        <v>0</v>
      </c>
    </row>
    <row r="11" spans="1:9">
      <c r="A11" t="s">
        <v>129</v>
      </c>
      <c r="B11">
        <v>1</v>
      </c>
      <c r="C11">
        <v>6</v>
      </c>
      <c r="D11">
        <v>0</v>
      </c>
      <c r="E11">
        <v>1</v>
      </c>
      <c r="F11">
        <f t="shared" si="0"/>
        <v>7</v>
      </c>
      <c r="G11">
        <v>65</v>
      </c>
      <c r="H11">
        <v>0</v>
      </c>
      <c r="I1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</vt:lpstr>
      <vt:lpstr>Daily Release Plan</vt:lpstr>
      <vt:lpstr>Attendance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S</dc:creator>
  <cp:lastModifiedBy>Nishant S</cp:lastModifiedBy>
  <dcterms:created xsi:type="dcterms:W3CDTF">2025-09-17T09:15:09Z</dcterms:created>
  <dcterms:modified xsi:type="dcterms:W3CDTF">2025-09-28T08:19:21Z</dcterms:modified>
</cp:coreProperties>
</file>