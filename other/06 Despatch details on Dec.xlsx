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455E7BD5-AA83-420F-9FB6-0842C4369CAB}" xr6:coauthVersionLast="47" xr6:coauthVersionMax="47" xr10:uidLastSave="{00000000-0000-0000-0000-000000000000}"/>
  <bookViews>
    <workbookView xWindow="-110" yWindow="-110" windowWidth="19420" windowHeight="11500" tabRatio="606" xr2:uid="{00000000-000D-0000-FFFF-FFFF00000000}"/>
  </bookViews>
  <sheets>
    <sheet name="Dec" sheetId="1" r:id="rId1"/>
    <sheet name="Trigger" sheetId="31" r:id="rId2"/>
  </sheets>
  <definedNames>
    <definedName name="_xlnm._FilterDatabase" localSheetId="0" hidden="1">Dec!$A$1:$W$100</definedName>
    <definedName name="_xlnm._FilterDatabase" localSheetId="1" hidden="1">Trigger!$A$1:$AF$113</definedName>
    <definedName name="_xlnm.Print_Area" localSheetId="0">Dec!$A$1:$W$100</definedName>
    <definedName name="_xlnm.Print_Area" localSheetId="1">Trigger!$A$1:$AF$113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05" i="31" l="1"/>
  <c r="V105" i="31"/>
  <c r="W105" i="31"/>
  <c r="X105" i="31"/>
  <c r="Y105" i="31"/>
  <c r="U102" i="31"/>
  <c r="V102" i="31"/>
  <c r="W102" i="31"/>
  <c r="X102" i="31"/>
  <c r="Y102" i="31"/>
  <c r="U93" i="31"/>
  <c r="V93" i="31"/>
  <c r="W93" i="31"/>
  <c r="X93" i="31"/>
  <c r="Y93" i="31"/>
  <c r="U64" i="31"/>
  <c r="V64" i="31"/>
  <c r="W64" i="31"/>
  <c r="X64" i="31"/>
  <c r="Y64" i="31"/>
  <c r="U35" i="31"/>
  <c r="V35" i="31"/>
  <c r="W35" i="31"/>
  <c r="X35" i="31"/>
  <c r="Y35" i="31"/>
  <c r="U18" i="31"/>
  <c r="V18" i="31"/>
  <c r="W18" i="31"/>
  <c r="X18" i="31"/>
  <c r="Y18" i="31"/>
  <c r="T102" i="31"/>
  <c r="T93" i="31"/>
  <c r="T64" i="31"/>
  <c r="Z64" i="31"/>
  <c r="T35" i="31"/>
  <c r="T18" i="31"/>
  <c r="T105" i="31"/>
  <c r="S105" i="31"/>
  <c r="S112" i="31" s="1"/>
  <c r="S102" i="31"/>
  <c r="S111" i="31" s="1"/>
  <c r="S93" i="31"/>
  <c r="S110" i="31" s="1"/>
  <c r="S64" i="31"/>
  <c r="S109" i="31" s="1"/>
  <c r="S35" i="31"/>
  <c r="S108" i="31" s="1"/>
  <c r="S18" i="31"/>
  <c r="S107" i="31" s="1"/>
  <c r="R102" i="31"/>
  <c r="R93" i="31"/>
  <c r="R64" i="31"/>
  <c r="R35" i="31"/>
  <c r="R18" i="31"/>
  <c r="S113" i="31" l="1"/>
  <c r="Q102" i="31"/>
  <c r="Q93" i="31"/>
  <c r="Q64" i="31"/>
  <c r="Q35" i="31"/>
  <c r="Q18" i="31"/>
  <c r="Q105" i="31"/>
  <c r="R105" i="31"/>
  <c r="P102" i="31"/>
  <c r="P93" i="31"/>
  <c r="P64" i="31"/>
  <c r="P35" i="31"/>
  <c r="P18" i="31"/>
  <c r="O102" i="31" l="1"/>
  <c r="O93" i="31"/>
  <c r="O64" i="31"/>
  <c r="O35" i="31"/>
  <c r="O18" i="31"/>
  <c r="O105" i="31" l="1"/>
  <c r="P105" i="31"/>
  <c r="N105" i="31"/>
  <c r="N102" i="31"/>
  <c r="N93" i="31"/>
  <c r="N64" i="31"/>
  <c r="N35" i="31"/>
  <c r="N18" i="31"/>
  <c r="L98" i="1"/>
  <c r="M98" i="1"/>
  <c r="N98" i="1"/>
  <c r="M102" i="31"/>
  <c r="M93" i="31"/>
  <c r="M64" i="31"/>
  <c r="M35" i="31"/>
  <c r="M18" i="31"/>
  <c r="M105" i="31" l="1"/>
  <c r="L102" i="31"/>
  <c r="L93" i="31"/>
  <c r="L64" i="31"/>
  <c r="L35" i="31"/>
  <c r="L18" i="31"/>
  <c r="K102" i="31" l="1"/>
  <c r="K93" i="31"/>
  <c r="K64" i="31"/>
  <c r="K35" i="31"/>
  <c r="K18" i="31"/>
  <c r="I98" i="1"/>
  <c r="I100" i="1" s="1"/>
  <c r="J98" i="1"/>
  <c r="J100" i="1" s="1"/>
  <c r="K105" i="31"/>
  <c r="L105" i="31"/>
  <c r="J102" i="31"/>
  <c r="J111" i="31" s="1"/>
  <c r="J93" i="31"/>
  <c r="J110" i="31" s="1"/>
  <c r="J64" i="31"/>
  <c r="J109" i="31" s="1"/>
  <c r="J35" i="31"/>
  <c r="J108" i="31" s="1"/>
  <c r="J18" i="31"/>
  <c r="H98" i="1"/>
  <c r="J105" i="31"/>
  <c r="J112" i="31" s="1"/>
  <c r="I102" i="31"/>
  <c r="I93" i="31"/>
  <c r="I64" i="31"/>
  <c r="I35" i="31"/>
  <c r="I18" i="31"/>
  <c r="H102" i="31"/>
  <c r="H93" i="31"/>
  <c r="H64" i="31"/>
  <c r="H35" i="31"/>
  <c r="H18" i="31"/>
  <c r="J107" i="31" l="1"/>
  <c r="J113" i="31" s="1"/>
  <c r="H105" i="31"/>
  <c r="I105" i="31"/>
  <c r="G102" i="31"/>
  <c r="G93" i="31"/>
  <c r="G64" i="31"/>
  <c r="G35" i="31"/>
  <c r="G18" i="31"/>
  <c r="E98" i="1"/>
  <c r="F98" i="1"/>
  <c r="G105" i="31" l="1"/>
  <c r="F102" i="31"/>
  <c r="F93" i="31"/>
  <c r="F64" i="31"/>
  <c r="F35" i="31"/>
  <c r="F18" i="31"/>
  <c r="D98" i="1"/>
  <c r="D100" i="1" s="1"/>
  <c r="E102" i="31"/>
  <c r="E93" i="31"/>
  <c r="E64" i="31"/>
  <c r="E35" i="31"/>
  <c r="E18" i="31"/>
  <c r="C98" i="1"/>
  <c r="V98" i="1" l="1"/>
  <c r="V100" i="1" s="1"/>
  <c r="W112" i="31"/>
  <c r="W111" i="31"/>
  <c r="W110" i="31"/>
  <c r="W109" i="31"/>
  <c r="W108" i="31"/>
  <c r="W107" i="31"/>
  <c r="D105" i="31"/>
  <c r="D102" i="31"/>
  <c r="D93" i="31"/>
  <c r="D64" i="31"/>
  <c r="D35" i="31"/>
  <c r="D18" i="31"/>
  <c r="W113" i="31" l="1"/>
  <c r="C105" i="31"/>
  <c r="C102" i="31"/>
  <c r="C93" i="31"/>
  <c r="C64" i="31"/>
  <c r="C35" i="31"/>
  <c r="C18" i="31"/>
  <c r="W98" i="1"/>
  <c r="T98" i="1"/>
  <c r="R98" i="1"/>
  <c r="S98" i="1"/>
  <c r="Q98" i="1"/>
  <c r="P98" i="1" l="1"/>
  <c r="O98" i="1"/>
  <c r="K98" i="1"/>
  <c r="E105" i="31" l="1"/>
  <c r="B98" i="1" l="1"/>
  <c r="B100" i="1" s="1"/>
  <c r="C112" i="31"/>
  <c r="C111" i="31"/>
  <c r="C110" i="31"/>
  <c r="C109" i="31"/>
  <c r="C108" i="31"/>
  <c r="C107" i="31" l="1"/>
  <c r="C113" i="31" s="1"/>
  <c r="T107" i="31"/>
  <c r="U107" i="31"/>
  <c r="V107" i="31"/>
  <c r="X107" i="31"/>
  <c r="T108" i="31"/>
  <c r="U108" i="31"/>
  <c r="V108" i="31"/>
  <c r="X108" i="31"/>
  <c r="T109" i="31"/>
  <c r="U109" i="31"/>
  <c r="V109" i="31"/>
  <c r="X109" i="31"/>
  <c r="T110" i="31"/>
  <c r="U110" i="31"/>
  <c r="V110" i="31"/>
  <c r="X110" i="31"/>
  <c r="T111" i="31"/>
  <c r="U111" i="31"/>
  <c r="V111" i="31"/>
  <c r="X111" i="31"/>
  <c r="T112" i="31"/>
  <c r="U112" i="31"/>
  <c r="V112" i="31"/>
  <c r="X112" i="31"/>
  <c r="T113" i="31" l="1"/>
  <c r="U113" i="31"/>
  <c r="V113" i="31"/>
  <c r="X113" i="31"/>
  <c r="W100" i="1"/>
  <c r="S100" i="1"/>
  <c r="T100" i="1"/>
  <c r="U98" i="1"/>
  <c r="U100" i="1" s="1"/>
  <c r="G98" i="1" l="1"/>
  <c r="F100" i="1" l="1"/>
  <c r="F105" i="31" l="1"/>
  <c r="E111" i="31" l="1"/>
  <c r="E110" i="31"/>
  <c r="E109" i="31"/>
  <c r="E108" i="31"/>
  <c r="F108" i="31"/>
  <c r="F109" i="31" l="1"/>
  <c r="E112" i="31"/>
  <c r="O100" i="1"/>
  <c r="P100" i="1"/>
  <c r="R100" i="1"/>
  <c r="N107" i="31" l="1"/>
  <c r="F112" i="31"/>
  <c r="G112" i="31"/>
  <c r="H112" i="31"/>
  <c r="I112" i="31"/>
  <c r="F111" i="31"/>
  <c r="G111" i="31"/>
  <c r="H111" i="31"/>
  <c r="I111" i="31"/>
  <c r="F110" i="31"/>
  <c r="G110" i="31"/>
  <c r="H110" i="31"/>
  <c r="I110" i="31"/>
  <c r="G109" i="31"/>
  <c r="H109" i="31"/>
  <c r="I109" i="31"/>
  <c r="G108" i="31"/>
  <c r="H108" i="31"/>
  <c r="I108" i="31"/>
  <c r="E107" i="31"/>
  <c r="E113" i="31" s="1"/>
  <c r="F107" i="31"/>
  <c r="G107" i="31"/>
  <c r="H107" i="31"/>
  <c r="I107" i="31"/>
  <c r="G113" i="31" l="1"/>
  <c r="F113" i="31"/>
  <c r="I113" i="31"/>
  <c r="H113" i="31"/>
  <c r="E100" i="1"/>
  <c r="N100" i="1" l="1"/>
  <c r="D112" i="31" l="1"/>
  <c r="D111" i="31"/>
  <c r="D110" i="31"/>
  <c r="D109" i="31"/>
  <c r="D108" i="31"/>
  <c r="D107" i="31"/>
  <c r="K112" i="31"/>
  <c r="L112" i="31"/>
  <c r="M112" i="31"/>
  <c r="N112" i="31"/>
  <c r="O112" i="31"/>
  <c r="P112" i="31"/>
  <c r="Q112" i="31"/>
  <c r="R112" i="31"/>
  <c r="K111" i="31"/>
  <c r="L111" i="31"/>
  <c r="M111" i="31"/>
  <c r="N111" i="31"/>
  <c r="O111" i="31"/>
  <c r="P111" i="31"/>
  <c r="Q111" i="31"/>
  <c r="R111" i="31"/>
  <c r="K110" i="31"/>
  <c r="L110" i="31"/>
  <c r="M110" i="31"/>
  <c r="N110" i="31"/>
  <c r="O110" i="31"/>
  <c r="P110" i="31"/>
  <c r="Q110" i="31"/>
  <c r="R110" i="31"/>
  <c r="K109" i="31"/>
  <c r="L109" i="31"/>
  <c r="M109" i="31"/>
  <c r="N109" i="31"/>
  <c r="O109" i="31"/>
  <c r="P109" i="31"/>
  <c r="Q109" i="31"/>
  <c r="R109" i="31"/>
  <c r="K108" i="31"/>
  <c r="L108" i="31"/>
  <c r="M108" i="31"/>
  <c r="N108" i="31"/>
  <c r="O108" i="31"/>
  <c r="P108" i="31"/>
  <c r="Q108" i="31"/>
  <c r="R108" i="31"/>
  <c r="K107" i="31"/>
  <c r="L107" i="31"/>
  <c r="M107" i="31"/>
  <c r="O107" i="31"/>
  <c r="P107" i="31"/>
  <c r="Q107" i="31"/>
  <c r="R107" i="31"/>
  <c r="L113" i="31" l="1"/>
  <c r="M113" i="31"/>
  <c r="N113" i="31"/>
  <c r="K113" i="31"/>
  <c r="O113" i="31"/>
  <c r="D113" i="31"/>
  <c r="R113" i="31"/>
  <c r="Q113" i="31"/>
  <c r="P113" i="31"/>
  <c r="H100" i="1" l="1"/>
  <c r="G100" i="1"/>
  <c r="C100" i="1" l="1"/>
  <c r="M100" i="1" l="1"/>
  <c r="L100" i="1"/>
  <c r="K100" i="1" l="1"/>
  <c r="B112" i="31" l="1"/>
  <c r="B111" i="31"/>
  <c r="B110" i="31"/>
  <c r="B109" i="31"/>
  <c r="B108" i="31"/>
  <c r="B107" i="31"/>
  <c r="Q100" i="1" l="1"/>
</calcChain>
</file>

<file path=xl/sharedStrings.xml><?xml version="1.0" encoding="utf-8"?>
<sst xmlns="http://schemas.openxmlformats.org/spreadsheetml/2006/main" count="312" uniqueCount="221">
  <si>
    <t>DESCRIPTION</t>
  </si>
  <si>
    <t>015315666</t>
  </si>
  <si>
    <t>AOS TANK EG-22</t>
  </si>
  <si>
    <t>015317491</t>
  </si>
  <si>
    <t>SEPARATOR TANK EG22-45KW GR2B</t>
  </si>
  <si>
    <t>015318046</t>
  </si>
  <si>
    <t xml:space="preserve">AOS Tank EG 22 F2 Alpha       </t>
  </si>
  <si>
    <t>015306791</t>
  </si>
  <si>
    <t>Receiver Tank - F4-75kW</t>
  </si>
  <si>
    <t>015318148</t>
  </si>
  <si>
    <t>SEPARATOR TANK ASSY UNIQUE 500</t>
  </si>
  <si>
    <t>015318382</t>
  </si>
  <si>
    <t>AOS TANK EG22-45KW</t>
  </si>
  <si>
    <t>015318047</t>
  </si>
  <si>
    <t>AOS TANK EG22 - U STAMP</t>
  </si>
  <si>
    <t>015307870</t>
  </si>
  <si>
    <t>Seperator tank75kW-ASME Ustamp</t>
  </si>
  <si>
    <t>015319653</t>
  </si>
  <si>
    <t>AOS Tank - F4Alfa 75KW ASME</t>
  </si>
  <si>
    <t xml:space="preserve">AOS TANK EG22-45KW - CRN </t>
  </si>
  <si>
    <t>015311262</t>
  </si>
  <si>
    <t>AIR OIL SEPARATOR TANK</t>
  </si>
  <si>
    <t>015317035</t>
  </si>
  <si>
    <t>AOS Tank-EG 22 ASME</t>
  </si>
  <si>
    <t>015319440</t>
  </si>
  <si>
    <t>AOS TANK F4 ALPHA 75KW</t>
  </si>
  <si>
    <t>015321062</t>
  </si>
  <si>
    <t>SEPARATOR TANK ASSY EG45P-55KW</t>
  </si>
  <si>
    <t>015323667</t>
  </si>
  <si>
    <t>SEPSAC</t>
  </si>
  <si>
    <t>015312211</t>
  </si>
  <si>
    <t>AIR OIL SEPARATOR TANK_PG 75E</t>
  </si>
  <si>
    <t>015317760</t>
  </si>
  <si>
    <t>AIR-OIL SEP TANK EG90-160 PRE</t>
  </si>
  <si>
    <t>015303598</t>
  </si>
  <si>
    <t>VERTICAL TANK ASSY E90-E110</t>
  </si>
  <si>
    <t>015308468</t>
  </si>
  <si>
    <t>VERTICAL TANK F5 60Hz-U STAMP</t>
  </si>
  <si>
    <t>015321358</t>
  </si>
  <si>
    <t>TANK_PG 90E</t>
  </si>
  <si>
    <t>015303309</t>
  </si>
  <si>
    <t>VERTICAL TANK ASSY.132-160Kw</t>
  </si>
  <si>
    <t>015308469</t>
  </si>
  <si>
    <t>VERTICAL TANK F6 60Hz-U STAMP</t>
  </si>
  <si>
    <t>015314024</t>
  </si>
  <si>
    <t>AIR OIL SEPARATOR TANK EG250</t>
  </si>
  <si>
    <t>015322685</t>
  </si>
  <si>
    <t>AIR-OIL SEP TANK AUS 90-160P</t>
  </si>
  <si>
    <t>015317157</t>
  </si>
  <si>
    <t>AOS TANK SPVD EG250 50HZ</t>
  </si>
  <si>
    <t>015302762</t>
  </si>
  <si>
    <t xml:space="preserve">Vertical Tank E132-E160       </t>
  </si>
  <si>
    <t>015324218</t>
  </si>
  <si>
    <t xml:space="preserve">AOS Tank - EG 90 premium      </t>
  </si>
  <si>
    <t>015317669</t>
  </si>
  <si>
    <t>AIR OIL SEPARATOR TANK EG 160P</t>
  </si>
  <si>
    <t>015322758</t>
  </si>
  <si>
    <t>AOS Tank Sub-Assy - PG 45 ES</t>
  </si>
  <si>
    <t>015322540</t>
  </si>
  <si>
    <t xml:space="preserve">AIR OIL SEPARATOR TANK        </t>
  </si>
  <si>
    <t>LEPSAC</t>
  </si>
  <si>
    <t>035304505</t>
  </si>
  <si>
    <t>SUB-ASSY SEPARATOR TANK -  PG</t>
  </si>
  <si>
    <t>035304784</t>
  </si>
  <si>
    <t>SEPARATOR TANK ASSY GRP 2A</t>
  </si>
  <si>
    <t>035304725</t>
  </si>
  <si>
    <t>SEPARATOR TANK SUBASSY-PG1200</t>
  </si>
  <si>
    <t>035301147</t>
  </si>
  <si>
    <t>RECIEVER TANK</t>
  </si>
  <si>
    <t>035302127</t>
  </si>
  <si>
    <t>AIR OIL SEPARATOR TANK 450 150</t>
  </si>
  <si>
    <t>035303534</t>
  </si>
  <si>
    <t>AOS TANK</t>
  </si>
  <si>
    <t>035302707</t>
  </si>
  <si>
    <t>SEPERATOR TANK 600/100</t>
  </si>
  <si>
    <t>035303946</t>
  </si>
  <si>
    <t>SEPARATOR TANK - PG 1200 T3</t>
  </si>
  <si>
    <t>035301161</t>
  </si>
  <si>
    <t>035302880</t>
  </si>
  <si>
    <t>AIR OIL SEPARATOR TANK_PG 750</t>
  </si>
  <si>
    <t>035304225</t>
  </si>
  <si>
    <t>AOS TANK (PG1500S-400)</t>
  </si>
  <si>
    <t>035303904</t>
  </si>
  <si>
    <t>AOS tank- PG 1200 SERIES</t>
  </si>
  <si>
    <t>035303968</t>
  </si>
  <si>
    <t xml:space="preserve">SEPARATOR TANK ASSY GRP 2A    </t>
  </si>
  <si>
    <t>035302194</t>
  </si>
  <si>
    <t>SEPARATOR TANK ASSY-V2-1200/35</t>
  </si>
  <si>
    <t>035305289</t>
  </si>
  <si>
    <t>AOS TANK 1250</t>
  </si>
  <si>
    <t>035305257</t>
  </si>
  <si>
    <t>AOS TANK PG 430-100 UG</t>
  </si>
  <si>
    <t>035305496</t>
  </si>
  <si>
    <t>AOS STANK PG 575</t>
  </si>
  <si>
    <t>035304220</t>
  </si>
  <si>
    <t>SEPARATOR TANK ASSY GROUP</t>
  </si>
  <si>
    <t>015325013</t>
  </si>
  <si>
    <t>AOS Tank - EG 90 premium ASME</t>
  </si>
  <si>
    <t>035301888</t>
  </si>
  <si>
    <t>AOS TANK-PG 600 S-200</t>
  </si>
  <si>
    <t>035305542</t>
  </si>
  <si>
    <t>AOS Tank PG1500-400(5542)</t>
  </si>
  <si>
    <t>035305428</t>
  </si>
  <si>
    <t>AOS TANK-PG 900/350 SERIES</t>
  </si>
  <si>
    <t>035305370</t>
  </si>
  <si>
    <t>AOS TANK-PG 1250 SPVD</t>
  </si>
  <si>
    <t>035305355</t>
  </si>
  <si>
    <t>AOS TANK -4053</t>
  </si>
  <si>
    <t>035303885</t>
  </si>
  <si>
    <t>AOS TANK-PG 600 S-230 S</t>
  </si>
  <si>
    <t>035305279</t>
  </si>
  <si>
    <t>SUB-ASSY SEPARATOR TANK-PG 575</t>
  </si>
  <si>
    <t>035305191</t>
  </si>
  <si>
    <t>Sub-Assy AOS Tank-PG850</t>
  </si>
  <si>
    <t>035305522</t>
  </si>
  <si>
    <t>AOS tank - PG 500-250</t>
  </si>
  <si>
    <t>DPSAC</t>
  </si>
  <si>
    <t>02022816A</t>
  </si>
  <si>
    <t>AIR REC ASSY 220L SS/TS LB</t>
  </si>
  <si>
    <t>020228270</t>
  </si>
  <si>
    <t>REC AIR 500L HN TS10/15 SS15</t>
  </si>
  <si>
    <t>020228080</t>
  </si>
  <si>
    <t>REC AIR 160L SS03/05 TS03 HN</t>
  </si>
  <si>
    <t>02037319A</t>
  </si>
  <si>
    <t>AIR REC ASSY 220L TS05LD</t>
  </si>
  <si>
    <t>020227680</t>
  </si>
  <si>
    <t>REC AIR 220L TS05M</t>
  </si>
  <si>
    <t>020228200</t>
  </si>
  <si>
    <t>REC AIR 220L TS10 HN</t>
  </si>
  <si>
    <t>020377260</t>
  </si>
  <si>
    <t>REC AIR 160L TS03DCI</t>
  </si>
  <si>
    <t>020230030</t>
  </si>
  <si>
    <t>REC AIR 420L TS10120 HT</t>
  </si>
  <si>
    <t>020378720</t>
  </si>
  <si>
    <t>REC AIR 500L TS10 LD 12</t>
  </si>
  <si>
    <t>02022808A</t>
  </si>
  <si>
    <t>AIR REC 160L TS03 WITH HANDLE</t>
  </si>
  <si>
    <t>020370570</t>
  </si>
  <si>
    <t>AIR RECEIVER 220 LITRES OF</t>
  </si>
  <si>
    <t>020377100</t>
  </si>
  <si>
    <t>REC AIR 220L TS07 DCI</t>
  </si>
  <si>
    <t>020226950</t>
  </si>
  <si>
    <t>REC AIR 500L TS07 HZ (NON STD)</t>
  </si>
  <si>
    <t>020376420</t>
  </si>
  <si>
    <t xml:space="preserve">REC AIR 500L TS10 DCI         </t>
  </si>
  <si>
    <t>02037893A</t>
  </si>
  <si>
    <t xml:space="preserve">AIR RECEIVER ASSY 220 EXPORT  </t>
  </si>
  <si>
    <t>020226410</t>
  </si>
  <si>
    <t>REC AIR 500L HV 21</t>
  </si>
  <si>
    <t>020378910</t>
  </si>
  <si>
    <t>Air Receiver- 420 Litres SWS</t>
  </si>
  <si>
    <t>020377890</t>
  </si>
  <si>
    <t xml:space="preserve">AIR RECEIVER 500 L, 15 BAR    </t>
  </si>
  <si>
    <t>02037991A</t>
  </si>
  <si>
    <t>Air receiver 220lit LD AUS</t>
  </si>
  <si>
    <t>02038047A</t>
  </si>
  <si>
    <t xml:space="preserve">REC AIR ASSY 500L TS10LD12 CE </t>
  </si>
  <si>
    <t>02038075A</t>
  </si>
  <si>
    <t>AIR RECEIVER 500LIT TS15 LD</t>
  </si>
  <si>
    <t>320200210</t>
  </si>
  <si>
    <t>Receiver Air 500 l</t>
  </si>
  <si>
    <t>02038156A</t>
  </si>
  <si>
    <t>Air Receiver- 250L - LD Europe</t>
  </si>
  <si>
    <t>02038157A</t>
  </si>
  <si>
    <t>Air receiver 160lit -LD EUROPE</t>
  </si>
  <si>
    <t>02038167A</t>
  </si>
  <si>
    <t>AIR RECEIVER 500LIT- LD EUROPE</t>
  </si>
  <si>
    <t>020379500</t>
  </si>
  <si>
    <t>Air Receiver -500 Litres DCI</t>
  </si>
  <si>
    <t>RCD</t>
  </si>
  <si>
    <t>015314208</t>
  </si>
  <si>
    <t>AIR RECEIVER TANK-En220-V3</t>
  </si>
  <si>
    <t>015314209</t>
  </si>
  <si>
    <t>AIR RECEIVER TANK-En270-V3</t>
  </si>
  <si>
    <t>015315217</t>
  </si>
  <si>
    <t>AIR RECIEVR TANK-500V3- SPVD</t>
  </si>
  <si>
    <t>015315512</t>
  </si>
  <si>
    <t>AIRRECEIVERTANK-500V3 NON SPVD</t>
  </si>
  <si>
    <t>015318723</t>
  </si>
  <si>
    <t>AIR RECEIVER TANK-EN220-V3</t>
  </si>
  <si>
    <t>015318724</t>
  </si>
  <si>
    <t>AIR RECEIVER TANK-EN270-V3</t>
  </si>
  <si>
    <t>ENCAP</t>
  </si>
  <si>
    <t>037-056825-S</t>
  </si>
  <si>
    <t>AOS TANK-ROTAIR-182-102-U-ASME</t>
  </si>
  <si>
    <t>037-05682-S03</t>
  </si>
  <si>
    <t>AOS TANK-ROTAIR-182-102-SPVD</t>
  </si>
  <si>
    <t>ROTAIR</t>
  </si>
  <si>
    <t>Total Summary</t>
  </si>
  <si>
    <t>PC</t>
  </si>
  <si>
    <t>02037994A</t>
  </si>
  <si>
    <t>REC AIR ASSY 160L TS03LD12 CE</t>
  </si>
  <si>
    <t xml:space="preserve">02038318A       </t>
  </si>
  <si>
    <t>035305784</t>
  </si>
  <si>
    <t>AOS TANK - 035305784</t>
  </si>
  <si>
    <t>015321133</t>
  </si>
  <si>
    <t>AOS TANK EG22 - CRN</t>
  </si>
  <si>
    <t>015315218</t>
  </si>
  <si>
    <t>AIR RECIEVR TANK-500V3- ASME</t>
  </si>
  <si>
    <t>015314866</t>
  </si>
  <si>
    <t>Air receiver tank-270 ASME</t>
  </si>
  <si>
    <t>PDI</t>
  </si>
  <si>
    <t>AOS Tank - Tier 3</t>
  </si>
  <si>
    <t>015330190</t>
  </si>
  <si>
    <t>02038318A</t>
  </si>
  <si>
    <t>34030395B</t>
  </si>
  <si>
    <t>020364840</t>
  </si>
  <si>
    <t>015321134</t>
  </si>
  <si>
    <t>02022827B</t>
  </si>
  <si>
    <t>Air Receiver -500 litres</t>
  </si>
  <si>
    <t>Hydro</t>
  </si>
  <si>
    <t>Item code</t>
  </si>
  <si>
    <t>035306194</t>
  </si>
  <si>
    <t>015332630</t>
  </si>
  <si>
    <t>HO stock</t>
  </si>
  <si>
    <t>WIP</t>
  </si>
  <si>
    <t>Stock</t>
  </si>
  <si>
    <t>Disp</t>
  </si>
  <si>
    <t>Due as on</t>
  </si>
  <si>
    <t>10+4</t>
  </si>
  <si>
    <t>2+1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</si>
</sst>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9"/>
      <color rgb="FF161618"/>
      <name val="Helvetica"/>
      <family val="2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</borders>
  <cellStyleXfs count="43">
    <xf numFmtId="0" fontId="0" fillId="0" borderId="0"/>
    <xf numFmtId="0" fontId="10" fillId="0" borderId="0" applyNumberFormat="0" applyFill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15" fillId="6" borderId="0" applyNumberFormat="0" applyBorder="0" applyAlignment="0" applyProtection="0"/>
    <xf numFmtId="0" fontId="16" fillId="7" borderId="0" applyNumberFormat="0" applyBorder="0" applyAlignment="0" applyProtection="0"/>
    <xf numFmtId="0" fontId="17" fillId="8" borderId="6" applyNumberFormat="0" applyAlignment="0" applyProtection="0"/>
    <xf numFmtId="0" fontId="18" fillId="9" borderId="7" applyNumberFormat="0" applyAlignment="0" applyProtection="0"/>
    <xf numFmtId="0" fontId="19" fillId="9" borderId="6" applyNumberFormat="0" applyAlignment="0" applyProtection="0"/>
    <xf numFmtId="0" fontId="20" fillId="0" borderId="8" applyNumberFormat="0" applyFill="0" applyAlignment="0" applyProtection="0"/>
    <xf numFmtId="0" fontId="21" fillId="10" borderId="9" applyNumberFormat="0" applyAlignment="0" applyProtection="0"/>
    <xf numFmtId="0" fontId="9" fillId="0" borderId="0" applyNumberFormat="0" applyFill="0" applyBorder="0" applyAlignment="0" applyProtection="0"/>
    <xf numFmtId="0" fontId="8" fillId="11" borderId="10" applyNumberFormat="0" applyFont="0" applyAlignment="0" applyProtection="0"/>
    <xf numFmtId="0" fontId="22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23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23" fillId="35" borderId="0" applyNumberFormat="0" applyBorder="0" applyAlignment="0" applyProtection="0"/>
    <xf numFmtId="44" fontId="8" fillId="0" borderId="0" applyFont="0" applyFill="0" applyBorder="0" applyAlignment="0" applyProtection="0"/>
  </cellStyleXfs>
  <cellXfs count="36">
    <xf numFmtId="0" fontId="0" fillId="0" borderId="0" xfId="0"/>
    <xf numFmtId="0" fontId="3" fillId="0" borderId="0" xfId="0" applyFont="1"/>
    <xf numFmtId="0" fontId="4" fillId="0" borderId="1" xfId="0" quotePrefix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vertical="center"/>
    </xf>
    <xf numFmtId="0" fontId="4" fillId="0" borderId="1" xfId="0" quotePrefix="1" applyFont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4" fillId="36" borderId="1" xfId="0" quotePrefix="1" applyFont="1" applyFill="1" applyBorder="1" applyAlignment="1">
      <alignment vertical="center"/>
    </xf>
    <xf numFmtId="0" fontId="5" fillId="4" borderId="1" xfId="42" applyNumberFormat="1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25" fillId="0" borderId="0" xfId="0" applyFont="1"/>
    <xf numFmtId="0" fontId="5" fillId="0" borderId="12" xfId="0" applyFont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C101"/>
  <sheetViews>
    <sheetView tabSelected="1" zoomScale="106" zoomScaleNormal="106" workbookViewId="0">
      <pane ySplit="1" topLeftCell="A2" activePane="bottomLeft" state="frozen"/>
      <selection pane="bottomLeft" activeCell="H37" sqref="H37"/>
    </sheetView>
  </sheetViews>
  <sheetFormatPr defaultRowHeight="15.5" x14ac:dyDescent="0.35"/>
  <cols>
    <col min="1" max="1" width="12.36328125" style="8" bestFit="1" customWidth="1"/>
    <col min="2" max="18" width="10.54296875" style="11" bestFit="1" customWidth="1"/>
    <col min="19" max="23" width="6.81640625" style="11" hidden="1" customWidth="1"/>
    <col min="24" max="24" width="12.54296875" style="20" customWidth="1"/>
    <col min="25" max="192" width="9.1796875" style="20"/>
    <col min="193" max="193" width="14.7265625" style="20" bestFit="1" customWidth="1"/>
    <col min="194" max="194" width="34" style="20" bestFit="1" customWidth="1"/>
    <col min="195" max="195" width="14.453125" style="20" bestFit="1" customWidth="1"/>
    <col min="196" max="448" width="9.1796875" style="20"/>
    <col min="449" max="449" width="14.7265625" style="20" bestFit="1" customWidth="1"/>
    <col min="450" max="450" width="34" style="20" bestFit="1" customWidth="1"/>
    <col min="451" max="451" width="14.453125" style="20" bestFit="1" customWidth="1"/>
    <col min="452" max="704" width="9.1796875" style="20"/>
    <col min="705" max="705" width="14.7265625" style="20" bestFit="1" customWidth="1"/>
    <col min="706" max="706" width="34" style="20" bestFit="1" customWidth="1"/>
    <col min="707" max="707" width="14.453125" style="20" bestFit="1" customWidth="1"/>
    <col min="708" max="960" width="9.1796875" style="20"/>
    <col min="961" max="961" width="14.7265625" style="20" bestFit="1" customWidth="1"/>
    <col min="962" max="962" width="34" style="20" bestFit="1" customWidth="1"/>
    <col min="963" max="963" width="14.453125" style="20" bestFit="1" customWidth="1"/>
    <col min="964" max="1216" width="9.1796875" style="20"/>
    <col min="1217" max="1217" width="14.7265625" style="20" bestFit="1" customWidth="1"/>
    <col min="1218" max="1218" width="34" style="20" bestFit="1" customWidth="1"/>
    <col min="1219" max="1219" width="14.453125" style="20" bestFit="1" customWidth="1"/>
    <col min="1220" max="1472" width="9.1796875" style="20"/>
    <col min="1473" max="1473" width="14.7265625" style="20" bestFit="1" customWidth="1"/>
    <col min="1474" max="1474" width="34" style="20" bestFit="1" customWidth="1"/>
    <col min="1475" max="1475" width="14.453125" style="20" bestFit="1" customWidth="1"/>
    <col min="1476" max="1728" width="9.1796875" style="20"/>
    <col min="1729" max="1729" width="14.7265625" style="20" bestFit="1" customWidth="1"/>
    <col min="1730" max="1730" width="34" style="20" bestFit="1" customWidth="1"/>
    <col min="1731" max="1731" width="14.453125" style="20" bestFit="1" customWidth="1"/>
    <col min="1732" max="1984" width="9.1796875" style="20"/>
    <col min="1985" max="1985" width="14.7265625" style="20" bestFit="1" customWidth="1"/>
    <col min="1986" max="1986" width="34" style="20" bestFit="1" customWidth="1"/>
    <col min="1987" max="1987" width="14.453125" style="20" bestFit="1" customWidth="1"/>
    <col min="1988" max="2240" width="9.1796875" style="20"/>
    <col min="2241" max="2241" width="14.7265625" style="20" bestFit="1" customWidth="1"/>
    <col min="2242" max="2242" width="34" style="20" bestFit="1" customWidth="1"/>
    <col min="2243" max="2243" width="14.453125" style="20" bestFit="1" customWidth="1"/>
    <col min="2244" max="2496" width="9.1796875" style="20"/>
    <col min="2497" max="2497" width="14.7265625" style="20" bestFit="1" customWidth="1"/>
    <col min="2498" max="2498" width="34" style="20" bestFit="1" customWidth="1"/>
    <col min="2499" max="2499" width="14.453125" style="20" bestFit="1" customWidth="1"/>
    <col min="2500" max="2752" width="9.1796875" style="20"/>
    <col min="2753" max="2753" width="14.7265625" style="20" bestFit="1" customWidth="1"/>
    <col min="2754" max="2754" width="34" style="20" bestFit="1" customWidth="1"/>
    <col min="2755" max="2755" width="14.453125" style="20" bestFit="1" customWidth="1"/>
    <col min="2756" max="3008" width="9.1796875" style="20"/>
    <col min="3009" max="3009" width="14.7265625" style="20" bestFit="1" customWidth="1"/>
    <col min="3010" max="3010" width="34" style="20" bestFit="1" customWidth="1"/>
    <col min="3011" max="3011" width="14.453125" style="20" bestFit="1" customWidth="1"/>
    <col min="3012" max="3264" width="9.1796875" style="20"/>
    <col min="3265" max="3265" width="14.7265625" style="20" bestFit="1" customWidth="1"/>
    <col min="3266" max="3266" width="34" style="20" bestFit="1" customWidth="1"/>
    <col min="3267" max="3267" width="14.453125" style="20" bestFit="1" customWidth="1"/>
    <col min="3268" max="3520" width="9.1796875" style="20"/>
    <col min="3521" max="3521" width="14.7265625" style="20" bestFit="1" customWidth="1"/>
    <col min="3522" max="3522" width="34" style="20" bestFit="1" customWidth="1"/>
    <col min="3523" max="3523" width="14.453125" style="20" bestFit="1" customWidth="1"/>
    <col min="3524" max="3776" width="9.1796875" style="20"/>
    <col min="3777" max="3777" width="14.7265625" style="20" bestFit="1" customWidth="1"/>
    <col min="3778" max="3778" width="34" style="20" bestFit="1" customWidth="1"/>
    <col min="3779" max="3779" width="14.453125" style="20" bestFit="1" customWidth="1"/>
    <col min="3780" max="4032" width="9.1796875" style="20"/>
    <col min="4033" max="4033" width="14.7265625" style="20" bestFit="1" customWidth="1"/>
    <col min="4034" max="4034" width="34" style="20" bestFit="1" customWidth="1"/>
    <col min="4035" max="4035" width="14.453125" style="20" bestFit="1" customWidth="1"/>
    <col min="4036" max="4288" width="9.1796875" style="20"/>
    <col min="4289" max="4289" width="14.7265625" style="20" bestFit="1" customWidth="1"/>
    <col min="4290" max="4290" width="34" style="20" bestFit="1" customWidth="1"/>
    <col min="4291" max="4291" width="14.453125" style="20" bestFit="1" customWidth="1"/>
    <col min="4292" max="4544" width="9.1796875" style="20"/>
    <col min="4545" max="4545" width="14.7265625" style="20" bestFit="1" customWidth="1"/>
    <col min="4546" max="4546" width="34" style="20" bestFit="1" customWidth="1"/>
    <col min="4547" max="4547" width="14.453125" style="20" bestFit="1" customWidth="1"/>
    <col min="4548" max="4800" width="9.1796875" style="20"/>
    <col min="4801" max="4801" width="14.7265625" style="20" bestFit="1" customWidth="1"/>
    <col min="4802" max="4802" width="34" style="20" bestFit="1" customWidth="1"/>
    <col min="4803" max="4803" width="14.453125" style="20" bestFit="1" customWidth="1"/>
    <col min="4804" max="5056" width="9.1796875" style="20"/>
    <col min="5057" max="5057" width="14.7265625" style="20" bestFit="1" customWidth="1"/>
    <col min="5058" max="5058" width="34" style="20" bestFit="1" customWidth="1"/>
    <col min="5059" max="5059" width="14.453125" style="20" bestFit="1" customWidth="1"/>
    <col min="5060" max="5312" width="9.1796875" style="20"/>
    <col min="5313" max="5313" width="14.7265625" style="20" bestFit="1" customWidth="1"/>
    <col min="5314" max="5314" width="34" style="20" bestFit="1" customWidth="1"/>
    <col min="5315" max="5315" width="14.453125" style="20" bestFit="1" customWidth="1"/>
    <col min="5316" max="5568" width="9.1796875" style="20"/>
    <col min="5569" max="5569" width="14.7265625" style="20" bestFit="1" customWidth="1"/>
    <col min="5570" max="5570" width="34" style="20" bestFit="1" customWidth="1"/>
    <col min="5571" max="5571" width="14.453125" style="20" bestFit="1" customWidth="1"/>
    <col min="5572" max="5824" width="9.1796875" style="20"/>
    <col min="5825" max="5825" width="14.7265625" style="20" bestFit="1" customWidth="1"/>
    <col min="5826" max="5826" width="34" style="20" bestFit="1" customWidth="1"/>
    <col min="5827" max="5827" width="14.453125" style="20" bestFit="1" customWidth="1"/>
    <col min="5828" max="6080" width="9.1796875" style="20"/>
    <col min="6081" max="6081" width="14.7265625" style="20" bestFit="1" customWidth="1"/>
    <col min="6082" max="6082" width="34" style="20" bestFit="1" customWidth="1"/>
    <col min="6083" max="6083" width="14.453125" style="20" bestFit="1" customWidth="1"/>
    <col min="6084" max="6336" width="9.1796875" style="20"/>
    <col min="6337" max="6337" width="14.7265625" style="20" bestFit="1" customWidth="1"/>
    <col min="6338" max="6338" width="34" style="20" bestFit="1" customWidth="1"/>
    <col min="6339" max="6339" width="14.453125" style="20" bestFit="1" customWidth="1"/>
    <col min="6340" max="6592" width="9.1796875" style="20"/>
    <col min="6593" max="6593" width="14.7265625" style="20" bestFit="1" customWidth="1"/>
    <col min="6594" max="6594" width="34" style="20" bestFit="1" customWidth="1"/>
    <col min="6595" max="6595" width="14.453125" style="20" bestFit="1" customWidth="1"/>
    <col min="6596" max="6848" width="9.1796875" style="20"/>
    <col min="6849" max="6849" width="14.7265625" style="20" bestFit="1" customWidth="1"/>
    <col min="6850" max="6850" width="34" style="20" bestFit="1" customWidth="1"/>
    <col min="6851" max="6851" width="14.453125" style="20" bestFit="1" customWidth="1"/>
    <col min="6852" max="7104" width="9.1796875" style="20"/>
    <col min="7105" max="7105" width="14.7265625" style="20" bestFit="1" customWidth="1"/>
    <col min="7106" max="7106" width="34" style="20" bestFit="1" customWidth="1"/>
    <col min="7107" max="7107" width="14.453125" style="20" bestFit="1" customWidth="1"/>
    <col min="7108" max="7360" width="9.1796875" style="20"/>
    <col min="7361" max="7361" width="14.7265625" style="20" bestFit="1" customWidth="1"/>
    <col min="7362" max="7362" width="34" style="20" bestFit="1" customWidth="1"/>
    <col min="7363" max="7363" width="14.453125" style="20" bestFit="1" customWidth="1"/>
    <col min="7364" max="7616" width="9.1796875" style="20"/>
    <col min="7617" max="7617" width="14.7265625" style="20" bestFit="1" customWidth="1"/>
    <col min="7618" max="7618" width="34" style="20" bestFit="1" customWidth="1"/>
    <col min="7619" max="7619" width="14.453125" style="20" bestFit="1" customWidth="1"/>
    <col min="7620" max="7872" width="9.1796875" style="20"/>
    <col min="7873" max="7873" width="14.7265625" style="20" bestFit="1" customWidth="1"/>
    <col min="7874" max="7874" width="34" style="20" bestFit="1" customWidth="1"/>
    <col min="7875" max="7875" width="14.453125" style="20" bestFit="1" customWidth="1"/>
    <col min="7876" max="8128" width="9.1796875" style="20"/>
    <col min="8129" max="8129" width="14.7265625" style="20" bestFit="1" customWidth="1"/>
    <col min="8130" max="8130" width="34" style="20" bestFit="1" customWidth="1"/>
    <col min="8131" max="8131" width="14.453125" style="20" bestFit="1" customWidth="1"/>
    <col min="8132" max="8384" width="9.1796875" style="20"/>
    <col min="8385" max="8385" width="14.7265625" style="20" bestFit="1" customWidth="1"/>
    <col min="8386" max="8386" width="34" style="20" bestFit="1" customWidth="1"/>
    <col min="8387" max="8387" width="14.453125" style="20" bestFit="1" customWidth="1"/>
    <col min="8388" max="8640" width="9.1796875" style="20"/>
    <col min="8641" max="8641" width="14.7265625" style="20" bestFit="1" customWidth="1"/>
    <col min="8642" max="8642" width="34" style="20" bestFit="1" customWidth="1"/>
    <col min="8643" max="8643" width="14.453125" style="20" bestFit="1" customWidth="1"/>
    <col min="8644" max="8896" width="9.1796875" style="20"/>
    <col min="8897" max="8897" width="14.7265625" style="20" bestFit="1" customWidth="1"/>
    <col min="8898" max="8898" width="34" style="20" bestFit="1" customWidth="1"/>
    <col min="8899" max="8899" width="14.453125" style="20" bestFit="1" customWidth="1"/>
    <col min="8900" max="9152" width="9.1796875" style="20"/>
    <col min="9153" max="9153" width="14.7265625" style="20" bestFit="1" customWidth="1"/>
    <col min="9154" max="9154" width="34" style="20" bestFit="1" customWidth="1"/>
    <col min="9155" max="9155" width="14.453125" style="20" bestFit="1" customWidth="1"/>
    <col min="9156" max="9408" width="9.1796875" style="20"/>
    <col min="9409" max="9409" width="14.7265625" style="20" bestFit="1" customWidth="1"/>
    <col min="9410" max="9410" width="34" style="20" bestFit="1" customWidth="1"/>
    <col min="9411" max="9411" width="14.453125" style="20" bestFit="1" customWidth="1"/>
    <col min="9412" max="9664" width="9.1796875" style="20"/>
    <col min="9665" max="9665" width="14.7265625" style="20" bestFit="1" customWidth="1"/>
    <col min="9666" max="9666" width="34" style="20" bestFit="1" customWidth="1"/>
    <col min="9667" max="9667" width="14.453125" style="20" bestFit="1" customWidth="1"/>
    <col min="9668" max="9920" width="9.1796875" style="20"/>
    <col min="9921" max="9921" width="14.7265625" style="20" bestFit="1" customWidth="1"/>
    <col min="9922" max="9922" width="34" style="20" bestFit="1" customWidth="1"/>
    <col min="9923" max="9923" width="14.453125" style="20" bestFit="1" customWidth="1"/>
    <col min="9924" max="10176" width="9.1796875" style="20"/>
    <col min="10177" max="10177" width="14.7265625" style="20" bestFit="1" customWidth="1"/>
    <col min="10178" max="10178" width="34" style="20" bestFit="1" customWidth="1"/>
    <col min="10179" max="10179" width="14.453125" style="20" bestFit="1" customWidth="1"/>
    <col min="10180" max="10432" width="9.1796875" style="20"/>
    <col min="10433" max="10433" width="14.7265625" style="20" bestFit="1" customWidth="1"/>
    <col min="10434" max="10434" width="34" style="20" bestFit="1" customWidth="1"/>
    <col min="10435" max="10435" width="14.453125" style="20" bestFit="1" customWidth="1"/>
    <col min="10436" max="10688" width="9.1796875" style="20"/>
    <col min="10689" max="10689" width="14.7265625" style="20" bestFit="1" customWidth="1"/>
    <col min="10690" max="10690" width="34" style="20" bestFit="1" customWidth="1"/>
    <col min="10691" max="10691" width="14.453125" style="20" bestFit="1" customWidth="1"/>
    <col min="10692" max="10944" width="9.1796875" style="20"/>
    <col min="10945" max="10945" width="14.7265625" style="20" bestFit="1" customWidth="1"/>
    <col min="10946" max="10946" width="34" style="20" bestFit="1" customWidth="1"/>
    <col min="10947" max="10947" width="14.453125" style="20" bestFit="1" customWidth="1"/>
    <col min="10948" max="11200" width="9.1796875" style="20"/>
    <col min="11201" max="11201" width="14.7265625" style="20" bestFit="1" customWidth="1"/>
    <col min="11202" max="11202" width="34" style="20" bestFit="1" customWidth="1"/>
    <col min="11203" max="11203" width="14.453125" style="20" bestFit="1" customWidth="1"/>
    <col min="11204" max="11456" width="9.1796875" style="20"/>
    <col min="11457" max="11457" width="14.7265625" style="20" bestFit="1" customWidth="1"/>
    <col min="11458" max="11458" width="34" style="20" bestFit="1" customWidth="1"/>
    <col min="11459" max="11459" width="14.453125" style="20" bestFit="1" customWidth="1"/>
    <col min="11460" max="11712" width="9.1796875" style="20"/>
    <col min="11713" max="11713" width="14.7265625" style="20" bestFit="1" customWidth="1"/>
    <col min="11714" max="11714" width="34" style="20" bestFit="1" customWidth="1"/>
    <col min="11715" max="11715" width="14.453125" style="20" bestFit="1" customWidth="1"/>
    <col min="11716" max="11968" width="9.1796875" style="20"/>
    <col min="11969" max="11969" width="14.7265625" style="20" bestFit="1" customWidth="1"/>
    <col min="11970" max="11970" width="34" style="20" bestFit="1" customWidth="1"/>
    <col min="11971" max="11971" width="14.453125" style="20" bestFit="1" customWidth="1"/>
    <col min="11972" max="12224" width="9.1796875" style="20"/>
    <col min="12225" max="12225" width="14.7265625" style="20" bestFit="1" customWidth="1"/>
    <col min="12226" max="12226" width="34" style="20" bestFit="1" customWidth="1"/>
    <col min="12227" max="12227" width="14.453125" style="20" bestFit="1" customWidth="1"/>
    <col min="12228" max="12480" width="9.1796875" style="20"/>
    <col min="12481" max="12481" width="14.7265625" style="20" bestFit="1" customWidth="1"/>
    <col min="12482" max="12482" width="34" style="20" bestFit="1" customWidth="1"/>
    <col min="12483" max="12483" width="14.453125" style="20" bestFit="1" customWidth="1"/>
    <col min="12484" max="12736" width="9.1796875" style="20"/>
    <col min="12737" max="12737" width="14.7265625" style="20" bestFit="1" customWidth="1"/>
    <col min="12738" max="12738" width="34" style="20" bestFit="1" customWidth="1"/>
    <col min="12739" max="12739" width="14.453125" style="20" bestFit="1" customWidth="1"/>
    <col min="12740" max="12992" width="9.1796875" style="20"/>
    <col min="12993" max="12993" width="14.7265625" style="20" bestFit="1" customWidth="1"/>
    <col min="12994" max="12994" width="34" style="20" bestFit="1" customWidth="1"/>
    <col min="12995" max="12995" width="14.453125" style="20" bestFit="1" customWidth="1"/>
    <col min="12996" max="13248" width="9.1796875" style="20"/>
    <col min="13249" max="13249" width="14.7265625" style="20" bestFit="1" customWidth="1"/>
    <col min="13250" max="13250" width="34" style="20" bestFit="1" customWidth="1"/>
    <col min="13251" max="13251" width="14.453125" style="20" bestFit="1" customWidth="1"/>
    <col min="13252" max="13504" width="9.1796875" style="20"/>
    <col min="13505" max="13505" width="14.7265625" style="20" bestFit="1" customWidth="1"/>
    <col min="13506" max="13506" width="34" style="20" bestFit="1" customWidth="1"/>
    <col min="13507" max="13507" width="14.453125" style="20" bestFit="1" customWidth="1"/>
    <col min="13508" max="13760" width="9.1796875" style="20"/>
    <col min="13761" max="13761" width="14.7265625" style="20" bestFit="1" customWidth="1"/>
    <col min="13762" max="13762" width="34" style="20" bestFit="1" customWidth="1"/>
    <col min="13763" max="13763" width="14.453125" style="20" bestFit="1" customWidth="1"/>
    <col min="13764" max="14016" width="9.1796875" style="20"/>
    <col min="14017" max="14017" width="14.7265625" style="20" bestFit="1" customWidth="1"/>
    <col min="14018" max="14018" width="34" style="20" bestFit="1" customWidth="1"/>
    <col min="14019" max="14019" width="14.453125" style="20" bestFit="1" customWidth="1"/>
    <col min="14020" max="14272" width="9.1796875" style="20"/>
    <col min="14273" max="14273" width="14.7265625" style="20" bestFit="1" customWidth="1"/>
    <col min="14274" max="14274" width="34" style="20" bestFit="1" customWidth="1"/>
    <col min="14275" max="14275" width="14.453125" style="20" bestFit="1" customWidth="1"/>
    <col min="14276" max="14528" width="9.1796875" style="20"/>
    <col min="14529" max="14529" width="14.7265625" style="20" bestFit="1" customWidth="1"/>
    <col min="14530" max="14530" width="34" style="20" bestFit="1" customWidth="1"/>
    <col min="14531" max="14531" width="14.453125" style="20" bestFit="1" customWidth="1"/>
    <col min="14532" max="14784" width="9.1796875" style="20"/>
    <col min="14785" max="14785" width="14.7265625" style="20" bestFit="1" customWidth="1"/>
    <col min="14786" max="14786" width="34" style="20" bestFit="1" customWidth="1"/>
    <col min="14787" max="14787" width="14.453125" style="20" bestFit="1" customWidth="1"/>
    <col min="14788" max="15040" width="9.1796875" style="20"/>
    <col min="15041" max="15041" width="14.7265625" style="20" bestFit="1" customWidth="1"/>
    <col min="15042" max="15042" width="34" style="20" bestFit="1" customWidth="1"/>
    <col min="15043" max="15043" width="14.453125" style="20" bestFit="1" customWidth="1"/>
    <col min="15044" max="15296" width="9.1796875" style="20"/>
    <col min="15297" max="15297" width="14.7265625" style="20" bestFit="1" customWidth="1"/>
    <col min="15298" max="15298" width="34" style="20" bestFit="1" customWidth="1"/>
    <col min="15299" max="15299" width="14.453125" style="20" bestFit="1" customWidth="1"/>
    <col min="15300" max="15552" width="9.1796875" style="20"/>
    <col min="15553" max="15553" width="14.7265625" style="20" bestFit="1" customWidth="1"/>
    <col min="15554" max="15554" width="34" style="20" bestFit="1" customWidth="1"/>
    <col min="15555" max="15555" width="14.453125" style="20" bestFit="1" customWidth="1"/>
    <col min="15556" max="15808" width="9.1796875" style="20"/>
    <col min="15809" max="15809" width="14.7265625" style="20" bestFit="1" customWidth="1"/>
    <col min="15810" max="15810" width="34" style="20" bestFit="1" customWidth="1"/>
    <col min="15811" max="15811" width="14.453125" style="20" bestFit="1" customWidth="1"/>
    <col min="15812" max="16064" width="9.1796875" style="20"/>
    <col min="16065" max="16065" width="14.7265625" style="20" bestFit="1" customWidth="1"/>
    <col min="16066" max="16066" width="34" style="20" bestFit="1" customWidth="1"/>
    <col min="16067" max="16067" width="14.453125" style="20" bestFit="1" customWidth="1"/>
    <col min="16068" max="16382" width="9.1796875" style="20"/>
    <col min="16383" max="16384" width="9.1796875" style="20" customWidth="1"/>
  </cols>
  <sheetData>
    <row r="1" spans="1:23" x14ac:dyDescent="0.35">
      <c r="A1" s="22" t="s">
        <v>211</v>
      </c>
      <c r="B1" s="13">
        <v>45992</v>
      </c>
      <c r="C1" s="13">
        <v>45993</v>
      </c>
      <c r="D1" s="13">
        <v>45994</v>
      </c>
      <c r="E1" s="13">
        <v>45995</v>
      </c>
      <c r="F1" s="13">
        <v>45996</v>
      </c>
      <c r="G1" s="13">
        <v>45997</v>
      </c>
      <c r="H1" s="13">
        <v>45999</v>
      </c>
      <c r="I1" s="13">
        <v>46000</v>
      </c>
      <c r="J1" s="13">
        <v>46001</v>
      </c>
      <c r="K1" s="13">
        <v>46002</v>
      </c>
      <c r="L1" s="13">
        <v>46003</v>
      </c>
      <c r="M1" s="13">
        <v>46006</v>
      </c>
      <c r="N1" s="13">
        <v>46007</v>
      </c>
      <c r="O1" s="13">
        <v>46008</v>
      </c>
      <c r="P1" s="13">
        <v>46009</v>
      </c>
      <c r="Q1" s="13">
        <v>46010</v>
      </c>
      <c r="R1" s="13">
        <v>46013</v>
      </c>
      <c r="S1" s="13">
        <v>46014</v>
      </c>
      <c r="T1" s="13">
        <v>46015</v>
      </c>
      <c r="U1" s="13">
        <v>46020</v>
      </c>
      <c r="V1" s="13">
        <v>46021</v>
      </c>
      <c r="W1" s="13">
        <v>46022</v>
      </c>
    </row>
    <row r="2" spans="1:23" x14ac:dyDescent="0.35">
      <c r="A2" s="23" t="s">
        <v>1</v>
      </c>
      <c r="B2" s="3">
        <v>11</v>
      </c>
      <c r="C2" s="3">
        <v>20</v>
      </c>
      <c r="D2" s="3">
        <v>12</v>
      </c>
      <c r="E2" s="3">
        <v>16</v>
      </c>
      <c r="F2" s="3">
        <v>9</v>
      </c>
      <c r="G2" s="3">
        <v>8</v>
      </c>
      <c r="H2" s="3">
        <v>5</v>
      </c>
      <c r="I2" s="3">
        <v>23</v>
      </c>
      <c r="J2" s="3">
        <v>14</v>
      </c>
      <c r="K2" s="3">
        <v>6</v>
      </c>
      <c r="L2" s="7">
        <v>13</v>
      </c>
      <c r="M2" s="3">
        <v>19</v>
      </c>
      <c r="N2" s="3">
        <v>15</v>
      </c>
      <c r="O2" s="3">
        <v>13</v>
      </c>
      <c r="P2" s="3">
        <v>14</v>
      </c>
      <c r="Q2" s="3">
        <v>17</v>
      </c>
      <c r="R2" s="3">
        <v>16</v>
      </c>
      <c r="S2" s="3">
        <v>0</v>
      </c>
      <c r="T2" s="3">
        <v>0</v>
      </c>
      <c r="U2" s="3">
        <v>0</v>
      </c>
      <c r="V2" s="3">
        <v>0</v>
      </c>
      <c r="W2" s="3">
        <v>0</v>
      </c>
    </row>
    <row r="3" spans="1:23" x14ac:dyDescent="0.35">
      <c r="A3" s="23" t="s">
        <v>3</v>
      </c>
      <c r="B3" s="3">
        <v>7</v>
      </c>
      <c r="C3" s="3">
        <v>9</v>
      </c>
      <c r="D3" s="3">
        <v>10</v>
      </c>
      <c r="E3" s="3">
        <v>10</v>
      </c>
      <c r="F3" s="3">
        <v>9</v>
      </c>
      <c r="G3" s="3">
        <v>11</v>
      </c>
      <c r="H3" s="3">
        <v>3</v>
      </c>
      <c r="I3" s="3">
        <v>12</v>
      </c>
      <c r="J3" s="3">
        <v>9</v>
      </c>
      <c r="K3" s="3">
        <v>11</v>
      </c>
      <c r="L3" s="7">
        <v>16</v>
      </c>
      <c r="M3" s="3">
        <v>7</v>
      </c>
      <c r="N3" s="3">
        <v>9</v>
      </c>
      <c r="O3" s="3">
        <v>12</v>
      </c>
      <c r="P3" s="3">
        <v>10</v>
      </c>
      <c r="Q3" s="3">
        <v>7</v>
      </c>
      <c r="R3" s="3">
        <v>8</v>
      </c>
      <c r="S3" s="3">
        <v>0</v>
      </c>
      <c r="T3" s="3">
        <v>0</v>
      </c>
      <c r="U3" s="3">
        <v>0</v>
      </c>
      <c r="V3" s="3">
        <v>0</v>
      </c>
      <c r="W3" s="3">
        <v>0</v>
      </c>
    </row>
    <row r="4" spans="1:23" customFormat="1" ht="14.5" x14ac:dyDescent="0.35">
      <c r="A4" s="23" t="s">
        <v>5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7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</row>
    <row r="5" spans="1:23" customFormat="1" ht="14.5" x14ac:dyDescent="0.35">
      <c r="A5" s="23" t="s">
        <v>7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7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</row>
    <row r="6" spans="1:23" x14ac:dyDescent="0.35">
      <c r="A6" s="23" t="s">
        <v>9</v>
      </c>
      <c r="B6" s="3">
        <v>2</v>
      </c>
      <c r="C6" s="3">
        <v>0</v>
      </c>
      <c r="D6" s="3">
        <v>0</v>
      </c>
      <c r="E6" s="3">
        <v>2</v>
      </c>
      <c r="F6" s="3">
        <v>2</v>
      </c>
      <c r="G6" s="3">
        <v>0</v>
      </c>
      <c r="H6" s="3">
        <v>2</v>
      </c>
      <c r="I6" s="3">
        <v>0</v>
      </c>
      <c r="J6" s="3">
        <v>2</v>
      </c>
      <c r="K6" s="3">
        <v>3</v>
      </c>
      <c r="L6" s="7">
        <v>0</v>
      </c>
      <c r="M6" s="3">
        <v>1</v>
      </c>
      <c r="N6" s="3">
        <v>0</v>
      </c>
      <c r="O6" s="3">
        <v>1</v>
      </c>
      <c r="P6" s="3">
        <v>3</v>
      </c>
      <c r="Q6" s="3">
        <v>1</v>
      </c>
      <c r="R6" s="3">
        <v>3</v>
      </c>
      <c r="S6" s="3">
        <v>0</v>
      </c>
      <c r="T6" s="3">
        <v>0</v>
      </c>
      <c r="U6" s="3">
        <v>0</v>
      </c>
      <c r="V6" s="3">
        <v>0</v>
      </c>
      <c r="W6" s="3">
        <v>0</v>
      </c>
    </row>
    <row r="7" spans="1:23" s="1" customFormat="1" hidden="1" x14ac:dyDescent="0.35">
      <c r="A7" s="23" t="s">
        <v>11</v>
      </c>
      <c r="B7" s="3">
        <v>2</v>
      </c>
      <c r="C7" s="3">
        <v>2</v>
      </c>
      <c r="D7" s="3">
        <v>1</v>
      </c>
      <c r="E7" s="3">
        <v>1</v>
      </c>
      <c r="F7" s="3">
        <v>1</v>
      </c>
      <c r="G7" s="3">
        <v>0</v>
      </c>
      <c r="H7" s="3">
        <v>2</v>
      </c>
      <c r="I7" s="3">
        <v>2</v>
      </c>
      <c r="J7" s="3">
        <v>0</v>
      </c>
      <c r="K7" s="3">
        <v>1</v>
      </c>
      <c r="L7" s="7">
        <v>3</v>
      </c>
      <c r="M7" s="3">
        <v>2</v>
      </c>
      <c r="N7" s="3">
        <v>0</v>
      </c>
      <c r="O7" s="3">
        <v>1</v>
      </c>
      <c r="P7" s="3">
        <v>1</v>
      </c>
      <c r="Q7" s="3">
        <v>2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</row>
    <row r="8" spans="1:23" customFormat="1" ht="14.5" hidden="1" x14ac:dyDescent="0.35">
      <c r="A8" s="23" t="s">
        <v>13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7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</row>
    <row r="9" spans="1:23" customFormat="1" ht="14.5" hidden="1" x14ac:dyDescent="0.35">
      <c r="A9" s="23" t="s">
        <v>15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7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</row>
    <row r="10" spans="1:23" customFormat="1" ht="14.5" hidden="1" x14ac:dyDescent="0.35">
      <c r="A10" s="23" t="s">
        <v>17</v>
      </c>
      <c r="B10" s="3">
        <v>0</v>
      </c>
      <c r="C10" s="3">
        <v>0</v>
      </c>
      <c r="D10" s="3">
        <v>1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2</v>
      </c>
      <c r="K10" s="3">
        <v>0</v>
      </c>
      <c r="L10" s="7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</row>
    <row r="11" spans="1:23" customFormat="1" ht="14.5" hidden="1" x14ac:dyDescent="0.35">
      <c r="A11" s="23" t="s">
        <v>195</v>
      </c>
      <c r="B11" s="3">
        <v>0</v>
      </c>
      <c r="C11" s="3">
        <v>0</v>
      </c>
      <c r="D11" s="3">
        <v>0</v>
      </c>
      <c r="E11" s="3">
        <v>0</v>
      </c>
      <c r="F11" s="3">
        <v>1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7">
        <v>1</v>
      </c>
      <c r="M11" s="3">
        <v>0</v>
      </c>
      <c r="N11" s="3">
        <v>0</v>
      </c>
      <c r="O11" s="3">
        <v>0</v>
      </c>
      <c r="P11" s="3">
        <v>1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</row>
    <row r="12" spans="1:23" customFormat="1" ht="14.5" hidden="1" x14ac:dyDescent="0.35">
      <c r="A12" s="23" t="s">
        <v>207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1</v>
      </c>
      <c r="L12" s="7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</row>
    <row r="13" spans="1:23" s="1" customFormat="1" hidden="1" x14ac:dyDescent="0.35">
      <c r="A13" s="23" t="s">
        <v>22</v>
      </c>
      <c r="B13" s="3">
        <v>0</v>
      </c>
      <c r="C13" s="3">
        <v>1</v>
      </c>
      <c r="D13" s="3">
        <v>2</v>
      </c>
      <c r="E13" s="3">
        <v>1</v>
      </c>
      <c r="F13" s="3">
        <v>0</v>
      </c>
      <c r="G13" s="3">
        <v>1</v>
      </c>
      <c r="H13" s="3">
        <v>1</v>
      </c>
      <c r="I13" s="3">
        <v>2</v>
      </c>
      <c r="J13" s="3">
        <v>1</v>
      </c>
      <c r="K13" s="3">
        <v>1</v>
      </c>
      <c r="L13" s="7">
        <v>3</v>
      </c>
      <c r="M13" s="3">
        <v>0</v>
      </c>
      <c r="N13" s="3">
        <v>0</v>
      </c>
      <c r="O13" s="3">
        <v>2</v>
      </c>
      <c r="P13" s="3">
        <v>2</v>
      </c>
      <c r="Q13" s="3">
        <v>2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35">
      <c r="A14" s="23" t="s">
        <v>24</v>
      </c>
      <c r="B14" s="3">
        <v>5</v>
      </c>
      <c r="C14" s="3">
        <v>3</v>
      </c>
      <c r="D14" s="3">
        <v>2</v>
      </c>
      <c r="E14" s="3">
        <v>1</v>
      </c>
      <c r="F14" s="3">
        <v>2</v>
      </c>
      <c r="G14" s="3">
        <v>0</v>
      </c>
      <c r="H14" s="3">
        <v>0</v>
      </c>
      <c r="I14" s="3">
        <v>0</v>
      </c>
      <c r="J14" s="3">
        <v>0</v>
      </c>
      <c r="K14" s="3">
        <v>1</v>
      </c>
      <c r="L14" s="7">
        <v>3</v>
      </c>
      <c r="M14" s="3">
        <v>0</v>
      </c>
      <c r="N14" s="3">
        <v>3</v>
      </c>
      <c r="O14" s="3">
        <v>3</v>
      </c>
      <c r="P14" s="3">
        <v>3</v>
      </c>
      <c r="Q14" s="3">
        <v>3</v>
      </c>
      <c r="R14" s="3">
        <v>4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</row>
    <row r="15" spans="1:23" s="1" customFormat="1" hidden="1" x14ac:dyDescent="0.35">
      <c r="A15" s="23" t="s">
        <v>26</v>
      </c>
      <c r="B15" s="3">
        <v>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1</v>
      </c>
      <c r="J15" s="3">
        <v>0</v>
      </c>
      <c r="K15" s="3">
        <v>0</v>
      </c>
      <c r="L15" s="7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s="1" customFormat="1" hidden="1" x14ac:dyDescent="0.35">
      <c r="A16" s="23" t="s">
        <v>203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7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</row>
    <row r="17" spans="1:29" customFormat="1" ht="14.5" hidden="1" x14ac:dyDescent="0.35">
      <c r="A17" s="23" t="s">
        <v>28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7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</row>
    <row r="18" spans="1:29" customFormat="1" ht="14.5" hidden="1" x14ac:dyDescent="0.35">
      <c r="A18" s="23" t="s">
        <v>58</v>
      </c>
      <c r="B18" s="3">
        <v>1</v>
      </c>
      <c r="C18" s="3">
        <v>1</v>
      </c>
      <c r="D18" s="3">
        <v>0</v>
      </c>
      <c r="E18" s="3">
        <v>1</v>
      </c>
      <c r="F18" s="3">
        <v>1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7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</row>
    <row r="19" spans="1:29" customFormat="1" ht="14.5" hidden="1" x14ac:dyDescent="0.35">
      <c r="A19" s="23" t="s">
        <v>212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7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</row>
    <row r="20" spans="1:29" s="1" customFormat="1" x14ac:dyDescent="0.35">
      <c r="A20" s="23" t="s">
        <v>30</v>
      </c>
      <c r="B20" s="3">
        <v>0</v>
      </c>
      <c r="C20" s="3">
        <v>1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7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1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</row>
    <row r="21" spans="1:29" s="1" customFormat="1" hidden="1" x14ac:dyDescent="0.35">
      <c r="A21" s="23" t="s">
        <v>34</v>
      </c>
      <c r="B21" s="3">
        <v>0</v>
      </c>
      <c r="C21" s="3">
        <v>1</v>
      </c>
      <c r="D21" s="3">
        <v>0</v>
      </c>
      <c r="E21" s="3">
        <v>1</v>
      </c>
      <c r="F21" s="3">
        <v>1</v>
      </c>
      <c r="G21" s="3">
        <v>0</v>
      </c>
      <c r="H21" s="3">
        <v>1</v>
      </c>
      <c r="I21" s="3">
        <v>1</v>
      </c>
      <c r="J21" s="3">
        <v>0</v>
      </c>
      <c r="K21" s="3">
        <v>0</v>
      </c>
      <c r="L21" s="7">
        <v>0</v>
      </c>
      <c r="M21" s="3">
        <v>1</v>
      </c>
      <c r="N21" s="3">
        <v>1</v>
      </c>
      <c r="O21" s="3">
        <v>0</v>
      </c>
      <c r="P21" s="3">
        <v>1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</row>
    <row r="22" spans="1:29" customFormat="1" ht="14.5" hidden="1" x14ac:dyDescent="0.35">
      <c r="A22" s="23" t="s">
        <v>36</v>
      </c>
      <c r="B22" s="3">
        <v>0</v>
      </c>
      <c r="C22" s="3">
        <v>0</v>
      </c>
      <c r="D22" s="3">
        <v>1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7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</row>
    <row r="23" spans="1:29" s="21" customFormat="1" ht="14.5" hidden="1" x14ac:dyDescent="0.35">
      <c r="A23" s="23" t="s">
        <v>38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7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</row>
    <row r="24" spans="1:29" hidden="1" x14ac:dyDescent="0.35">
      <c r="A24" s="23" t="s">
        <v>40</v>
      </c>
      <c r="B24" s="3">
        <v>0</v>
      </c>
      <c r="C24" s="3">
        <v>0</v>
      </c>
      <c r="D24" s="3">
        <v>0</v>
      </c>
      <c r="E24" s="3">
        <v>0</v>
      </c>
      <c r="F24" s="3">
        <v>1</v>
      </c>
      <c r="G24" s="3">
        <v>0</v>
      </c>
      <c r="H24" s="3">
        <v>1</v>
      </c>
      <c r="I24" s="3">
        <v>2</v>
      </c>
      <c r="J24" s="3">
        <v>0</v>
      </c>
      <c r="K24" s="3">
        <v>0</v>
      </c>
      <c r="L24" s="7">
        <v>1</v>
      </c>
      <c r="M24" s="3">
        <v>0</v>
      </c>
      <c r="N24" s="3">
        <v>0</v>
      </c>
      <c r="O24" s="3">
        <v>1</v>
      </c>
      <c r="P24" s="3">
        <v>1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1:29" customFormat="1" ht="14.5" hidden="1" x14ac:dyDescent="0.35">
      <c r="A25" s="23" t="s">
        <v>42</v>
      </c>
      <c r="B25" s="3">
        <v>0</v>
      </c>
      <c r="C25" s="3">
        <v>1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7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1:29" s="1" customFormat="1" hidden="1" x14ac:dyDescent="0.35">
      <c r="A26" s="23" t="s">
        <v>44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7">
        <v>1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</row>
    <row r="27" spans="1:29" s="21" customFormat="1" ht="14.5" hidden="1" x14ac:dyDescent="0.35">
      <c r="A27" s="23" t="s">
        <v>48</v>
      </c>
      <c r="B27" s="3">
        <v>0</v>
      </c>
      <c r="C27" s="3">
        <v>0</v>
      </c>
      <c r="D27" s="3">
        <v>0</v>
      </c>
      <c r="E27" s="3">
        <v>1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7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</row>
    <row r="28" spans="1:29" s="21" customFormat="1" ht="14.5" x14ac:dyDescent="0.35">
      <c r="A28" s="23" t="s">
        <v>52</v>
      </c>
      <c r="B28" s="3">
        <v>0</v>
      </c>
      <c r="C28" s="3">
        <v>1</v>
      </c>
      <c r="D28" s="3">
        <v>1</v>
      </c>
      <c r="E28" s="3">
        <v>2</v>
      </c>
      <c r="F28" s="3">
        <v>1</v>
      </c>
      <c r="G28" s="3">
        <v>0</v>
      </c>
      <c r="H28" s="3">
        <v>1</v>
      </c>
      <c r="I28" s="3">
        <v>0</v>
      </c>
      <c r="J28" s="3">
        <v>1</v>
      </c>
      <c r="K28" s="3">
        <v>0</v>
      </c>
      <c r="L28" s="7">
        <v>2</v>
      </c>
      <c r="M28" s="3">
        <v>2</v>
      </c>
      <c r="N28" s="3">
        <v>1</v>
      </c>
      <c r="O28" s="3">
        <v>2</v>
      </c>
      <c r="P28" s="3">
        <v>1</v>
      </c>
      <c r="Q28" s="3">
        <v>2</v>
      </c>
      <c r="R28" s="3">
        <v>1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1:29" s="1" customFormat="1" hidden="1" x14ac:dyDescent="0.35">
      <c r="A29" s="23" t="s">
        <v>96</v>
      </c>
      <c r="B29" s="3">
        <v>0</v>
      </c>
      <c r="C29" s="3">
        <v>1</v>
      </c>
      <c r="D29" s="3">
        <v>0</v>
      </c>
      <c r="E29" s="3">
        <v>0</v>
      </c>
      <c r="F29" s="3">
        <v>0</v>
      </c>
      <c r="G29" s="3">
        <v>0</v>
      </c>
      <c r="H29" s="3">
        <v>1</v>
      </c>
      <c r="I29" s="3">
        <v>0</v>
      </c>
      <c r="J29" s="3">
        <v>0</v>
      </c>
      <c r="K29" s="3">
        <v>0</v>
      </c>
      <c r="L29" s="7">
        <v>1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1:29" customFormat="1" ht="14.5" hidden="1" x14ac:dyDescent="0.35">
      <c r="A30" s="23" t="s">
        <v>56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7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1:29" customFormat="1" ht="14.5" hidden="1" x14ac:dyDescent="0.35">
      <c r="A31" s="23" t="s">
        <v>213</v>
      </c>
      <c r="B31" s="3">
        <v>1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7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1:29" x14ac:dyDescent="0.35">
      <c r="A32" s="25" t="s">
        <v>61</v>
      </c>
      <c r="B32" s="3">
        <v>2</v>
      </c>
      <c r="C32" s="3">
        <v>1</v>
      </c>
      <c r="D32" s="3">
        <v>2</v>
      </c>
      <c r="E32" s="3">
        <v>1</v>
      </c>
      <c r="F32" s="3">
        <v>3</v>
      </c>
      <c r="G32" s="3">
        <v>0</v>
      </c>
      <c r="H32" s="3">
        <v>2</v>
      </c>
      <c r="I32" s="3">
        <v>1</v>
      </c>
      <c r="J32" s="3">
        <v>0</v>
      </c>
      <c r="K32" s="3">
        <v>3</v>
      </c>
      <c r="L32" s="7">
        <v>1</v>
      </c>
      <c r="M32" s="3">
        <v>1</v>
      </c>
      <c r="N32" s="3">
        <v>2</v>
      </c>
      <c r="O32" s="3">
        <v>1</v>
      </c>
      <c r="P32" s="3">
        <v>2</v>
      </c>
      <c r="Q32" s="3">
        <v>2</v>
      </c>
      <c r="R32" s="3">
        <v>2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AC32" s="34"/>
    </row>
    <row r="33" spans="1:25" customFormat="1" ht="14.5" x14ac:dyDescent="0.35">
      <c r="A33" s="23" t="s">
        <v>63</v>
      </c>
      <c r="B33" s="3">
        <v>0</v>
      </c>
      <c r="C33" s="3">
        <v>0</v>
      </c>
      <c r="D33" s="3">
        <v>0</v>
      </c>
      <c r="E33" s="3">
        <v>1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7">
        <v>0</v>
      </c>
      <c r="M33" s="3">
        <v>1</v>
      </c>
      <c r="N33" s="3">
        <v>0</v>
      </c>
      <c r="O33" s="3">
        <v>0</v>
      </c>
      <c r="P33" s="3">
        <v>0</v>
      </c>
      <c r="Q33" s="3">
        <v>0</v>
      </c>
      <c r="R33" s="3">
        <v>1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</row>
    <row r="34" spans="1:25" customFormat="1" ht="14.5" hidden="1" x14ac:dyDescent="0.35">
      <c r="A34" s="23" t="s">
        <v>65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1</v>
      </c>
      <c r="I34" s="3">
        <v>0</v>
      </c>
      <c r="J34" s="3">
        <v>0</v>
      </c>
      <c r="K34" s="3">
        <v>0</v>
      </c>
      <c r="L34" s="7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1:25" customFormat="1" ht="14.5" hidden="1" x14ac:dyDescent="0.35">
      <c r="A35" s="23" t="s">
        <v>67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7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</row>
    <row r="36" spans="1:25" customFormat="1" ht="14.5" hidden="1" x14ac:dyDescent="0.35">
      <c r="A36" s="25" t="s">
        <v>69</v>
      </c>
      <c r="B36" s="3">
        <v>0</v>
      </c>
      <c r="C36" s="3">
        <v>0</v>
      </c>
      <c r="D36" s="3">
        <v>1</v>
      </c>
      <c r="E36" s="3">
        <v>1</v>
      </c>
      <c r="F36" s="3">
        <v>0</v>
      </c>
      <c r="G36" s="3">
        <v>0</v>
      </c>
      <c r="H36" s="3">
        <v>0</v>
      </c>
      <c r="I36" s="3">
        <v>1</v>
      </c>
      <c r="J36" s="3">
        <v>1</v>
      </c>
      <c r="K36" s="3">
        <v>0</v>
      </c>
      <c r="L36" s="7">
        <v>0</v>
      </c>
      <c r="M36" s="3">
        <v>1</v>
      </c>
      <c r="N36" s="3">
        <v>1</v>
      </c>
      <c r="O36" s="3">
        <v>0</v>
      </c>
      <c r="P36" s="3">
        <v>1</v>
      </c>
      <c r="Q36" s="3">
        <v>1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</row>
    <row r="37" spans="1:25" s="21" customFormat="1" ht="14.5" x14ac:dyDescent="0.35">
      <c r="A37" s="23" t="s">
        <v>71</v>
      </c>
      <c r="B37" s="3">
        <v>0</v>
      </c>
      <c r="C37" s="3">
        <v>0</v>
      </c>
      <c r="D37" s="3">
        <v>0</v>
      </c>
      <c r="E37" s="3">
        <v>1</v>
      </c>
      <c r="F37" s="3">
        <v>0</v>
      </c>
      <c r="G37" s="3">
        <v>0</v>
      </c>
      <c r="H37" s="3">
        <v>1</v>
      </c>
      <c r="I37" s="3">
        <v>0</v>
      </c>
      <c r="J37" s="3">
        <v>0</v>
      </c>
      <c r="K37" s="3">
        <v>1</v>
      </c>
      <c r="L37" s="7">
        <v>0</v>
      </c>
      <c r="M37" s="3">
        <v>0</v>
      </c>
      <c r="N37" s="3">
        <v>1</v>
      </c>
      <c r="O37" s="3">
        <v>0</v>
      </c>
      <c r="P37" s="3">
        <v>1</v>
      </c>
      <c r="Q37" s="3">
        <v>0</v>
      </c>
      <c r="R37" s="3">
        <v>1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</row>
    <row r="38" spans="1:25" customFormat="1" ht="14.5" hidden="1" x14ac:dyDescent="0.35">
      <c r="A38" s="23" t="s">
        <v>73</v>
      </c>
      <c r="B38" s="3">
        <v>0</v>
      </c>
      <c r="C38" s="3">
        <v>0</v>
      </c>
      <c r="D38" s="3">
        <v>0</v>
      </c>
      <c r="E38" s="3">
        <v>1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1</v>
      </c>
      <c r="L38" s="7">
        <v>0</v>
      </c>
      <c r="M38" s="3">
        <v>0</v>
      </c>
      <c r="N38" s="3">
        <v>0</v>
      </c>
      <c r="O38" s="3">
        <v>0</v>
      </c>
      <c r="P38" s="3">
        <v>1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</row>
    <row r="39" spans="1:25" customFormat="1" ht="14.5" hidden="1" x14ac:dyDescent="0.35">
      <c r="A39" s="23" t="s">
        <v>75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7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</row>
    <row r="40" spans="1:25" customFormat="1" ht="14.5" hidden="1" x14ac:dyDescent="0.35">
      <c r="A40" s="23" t="s">
        <v>77</v>
      </c>
      <c r="B40" s="3">
        <v>0</v>
      </c>
      <c r="C40" s="3">
        <v>0</v>
      </c>
      <c r="D40" s="3">
        <v>0</v>
      </c>
      <c r="E40" s="3">
        <v>0</v>
      </c>
      <c r="F40" s="3">
        <v>1</v>
      </c>
      <c r="G40" s="3">
        <v>0</v>
      </c>
      <c r="H40" s="3">
        <v>1</v>
      </c>
      <c r="I40" s="3">
        <v>0</v>
      </c>
      <c r="J40" s="3">
        <v>0</v>
      </c>
      <c r="K40" s="3">
        <v>0</v>
      </c>
      <c r="L40" s="7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</row>
    <row r="41" spans="1:25" customFormat="1" ht="14.5" hidden="1" x14ac:dyDescent="0.35">
      <c r="A41" s="23" t="s">
        <v>78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7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</row>
    <row r="42" spans="1:25" customFormat="1" ht="14.5" hidden="1" x14ac:dyDescent="0.35">
      <c r="A42" s="23" t="s">
        <v>80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7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1:25" customFormat="1" ht="14.5" hidden="1" x14ac:dyDescent="0.35">
      <c r="A43" s="23" t="s">
        <v>84</v>
      </c>
      <c r="B43" s="3">
        <v>0</v>
      </c>
      <c r="C43" s="3">
        <v>2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7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Y43" s="35"/>
    </row>
    <row r="44" spans="1:25" s="1" customFormat="1" x14ac:dyDescent="0.35">
      <c r="A44" s="23" t="s">
        <v>88</v>
      </c>
      <c r="B44" s="3">
        <v>2</v>
      </c>
      <c r="C44" s="3">
        <v>2</v>
      </c>
      <c r="D44" s="3">
        <v>2</v>
      </c>
      <c r="E44" s="3">
        <v>0</v>
      </c>
      <c r="F44" s="3">
        <v>2</v>
      </c>
      <c r="G44" s="3">
        <v>0</v>
      </c>
      <c r="H44" s="3">
        <v>3</v>
      </c>
      <c r="I44" s="3">
        <v>2</v>
      </c>
      <c r="J44" s="3">
        <v>1</v>
      </c>
      <c r="K44" s="3">
        <v>2</v>
      </c>
      <c r="L44" s="7">
        <v>1</v>
      </c>
      <c r="M44" s="3">
        <v>0</v>
      </c>
      <c r="N44" s="3">
        <v>3</v>
      </c>
      <c r="O44" s="3">
        <v>0</v>
      </c>
      <c r="P44" s="3">
        <v>1</v>
      </c>
      <c r="Q44" s="3">
        <v>0</v>
      </c>
      <c r="R44" s="3">
        <v>3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1:25" customFormat="1" ht="14.5" x14ac:dyDescent="0.35">
      <c r="A45" s="23" t="s">
        <v>90</v>
      </c>
      <c r="B45" s="3">
        <v>2</v>
      </c>
      <c r="C45" s="3">
        <v>1</v>
      </c>
      <c r="D45" s="3">
        <v>0</v>
      </c>
      <c r="E45" s="3">
        <v>3</v>
      </c>
      <c r="F45" s="3">
        <v>0</v>
      </c>
      <c r="G45" s="3">
        <v>0</v>
      </c>
      <c r="H45" s="3">
        <v>1</v>
      </c>
      <c r="I45" s="3">
        <v>2</v>
      </c>
      <c r="J45" s="3">
        <v>2</v>
      </c>
      <c r="K45" s="3">
        <v>1</v>
      </c>
      <c r="L45" s="7">
        <v>2</v>
      </c>
      <c r="M45" s="3">
        <v>1</v>
      </c>
      <c r="N45" s="3">
        <v>0</v>
      </c>
      <c r="O45" s="3">
        <v>3</v>
      </c>
      <c r="P45" s="3">
        <v>1</v>
      </c>
      <c r="Q45" s="3">
        <v>0</v>
      </c>
      <c r="R45" s="3">
        <v>1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</row>
    <row r="46" spans="1:25" s="1" customFormat="1" hidden="1" x14ac:dyDescent="0.35">
      <c r="A46" s="23" t="s">
        <v>92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1</v>
      </c>
      <c r="I46" s="3">
        <v>0</v>
      </c>
      <c r="J46" s="3">
        <v>0</v>
      </c>
      <c r="K46" s="3">
        <v>0</v>
      </c>
      <c r="L46" s="7">
        <v>1</v>
      </c>
      <c r="M46" s="3">
        <v>0</v>
      </c>
      <c r="N46" s="3">
        <v>0</v>
      </c>
      <c r="O46" s="3">
        <v>0</v>
      </c>
      <c r="P46" s="3">
        <v>1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</row>
    <row r="47" spans="1:25" customFormat="1" ht="14.5" hidden="1" x14ac:dyDescent="0.35">
      <c r="A47" s="23" t="s">
        <v>94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7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1:25" customFormat="1" ht="14.5" x14ac:dyDescent="0.35">
      <c r="A48" s="23" t="s">
        <v>100</v>
      </c>
      <c r="B48" s="3">
        <v>1</v>
      </c>
      <c r="C48" s="3">
        <v>0</v>
      </c>
      <c r="D48" s="3">
        <v>1</v>
      </c>
      <c r="E48" s="3">
        <v>1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7">
        <v>0</v>
      </c>
      <c r="M48" s="3">
        <v>1</v>
      </c>
      <c r="N48" s="3">
        <v>0</v>
      </c>
      <c r="O48" s="3">
        <v>1</v>
      </c>
      <c r="P48" s="3">
        <v>0</v>
      </c>
      <c r="Q48" s="3">
        <v>1</v>
      </c>
      <c r="R48" s="3">
        <v>1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</row>
    <row r="49" spans="1:23" s="21" customFormat="1" ht="14.5" hidden="1" x14ac:dyDescent="0.35">
      <c r="A49" s="23" t="s">
        <v>102</v>
      </c>
      <c r="B49" s="3">
        <v>0</v>
      </c>
      <c r="C49" s="3">
        <v>0</v>
      </c>
      <c r="D49" s="3">
        <v>1</v>
      </c>
      <c r="E49" s="3">
        <v>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7">
        <v>0</v>
      </c>
      <c r="M49" s="3">
        <v>1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</row>
    <row r="50" spans="1:23" customFormat="1" ht="14.5" x14ac:dyDescent="0.35">
      <c r="A50" s="23" t="s">
        <v>104</v>
      </c>
      <c r="B50" s="3">
        <v>1</v>
      </c>
      <c r="C50" s="3">
        <v>0</v>
      </c>
      <c r="D50" s="3">
        <v>0</v>
      </c>
      <c r="E50" s="3">
        <v>0</v>
      </c>
      <c r="F50" s="3">
        <v>1</v>
      </c>
      <c r="G50" s="3">
        <v>0</v>
      </c>
      <c r="H50" s="3">
        <v>0</v>
      </c>
      <c r="I50" s="3">
        <v>1</v>
      </c>
      <c r="J50" s="3">
        <v>1</v>
      </c>
      <c r="K50" s="3">
        <v>1</v>
      </c>
      <c r="L50" s="7">
        <v>0</v>
      </c>
      <c r="M50" s="3">
        <v>0</v>
      </c>
      <c r="N50" s="3">
        <v>1</v>
      </c>
      <c r="O50" s="3">
        <v>0</v>
      </c>
      <c r="P50" s="3">
        <v>0</v>
      </c>
      <c r="Q50" s="3">
        <v>0</v>
      </c>
      <c r="R50" s="3">
        <v>1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1:23" customFormat="1" ht="14.5" hidden="1" x14ac:dyDescent="0.35">
      <c r="A51" s="23" t="s">
        <v>106</v>
      </c>
      <c r="B51" s="3">
        <v>2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7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1:23" s="1" customFormat="1" hidden="1" x14ac:dyDescent="0.35">
      <c r="A52" s="23" t="s">
        <v>110</v>
      </c>
      <c r="B52" s="3">
        <v>0</v>
      </c>
      <c r="C52" s="3">
        <v>0</v>
      </c>
      <c r="D52" s="3">
        <v>0</v>
      </c>
      <c r="E52" s="3">
        <v>2</v>
      </c>
      <c r="F52" s="3">
        <v>0</v>
      </c>
      <c r="G52" s="3">
        <v>0</v>
      </c>
      <c r="H52" s="3">
        <v>0</v>
      </c>
      <c r="I52" s="3">
        <v>0</v>
      </c>
      <c r="J52" s="3">
        <v>1</v>
      </c>
      <c r="K52" s="3">
        <v>0</v>
      </c>
      <c r="L52" s="7">
        <v>0</v>
      </c>
      <c r="M52" s="3">
        <v>0</v>
      </c>
      <c r="N52" s="3">
        <v>1</v>
      </c>
      <c r="O52" s="3">
        <v>1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</row>
    <row r="53" spans="1:23" s="1" customFormat="1" hidden="1" x14ac:dyDescent="0.35">
      <c r="A53" s="23" t="s">
        <v>112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7">
        <v>0</v>
      </c>
      <c r="M53" s="3">
        <v>1</v>
      </c>
      <c r="N53" s="3">
        <v>0</v>
      </c>
      <c r="O53" s="3">
        <v>0</v>
      </c>
      <c r="P53" s="3">
        <v>0</v>
      </c>
      <c r="Q53" s="3">
        <v>1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1:23" s="1" customFormat="1" x14ac:dyDescent="0.35">
      <c r="A54" s="23" t="s">
        <v>193</v>
      </c>
      <c r="B54" s="3">
        <v>1</v>
      </c>
      <c r="C54" s="3">
        <v>0</v>
      </c>
      <c r="D54" s="3">
        <v>0</v>
      </c>
      <c r="E54" s="3">
        <v>1</v>
      </c>
      <c r="F54" s="3">
        <v>0</v>
      </c>
      <c r="G54" s="3">
        <v>0</v>
      </c>
      <c r="H54" s="3">
        <v>1</v>
      </c>
      <c r="I54" s="3">
        <v>0</v>
      </c>
      <c r="J54" s="3">
        <v>0</v>
      </c>
      <c r="K54" s="3">
        <v>0</v>
      </c>
      <c r="L54" s="7">
        <v>1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1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</row>
    <row r="55" spans="1:23" customFormat="1" ht="14.5" hidden="1" x14ac:dyDescent="0.35">
      <c r="A55" s="23" t="s">
        <v>114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7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</row>
    <row r="56" spans="1:23" hidden="1" x14ac:dyDescent="0.35">
      <c r="A56" s="23" t="s">
        <v>117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7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</row>
    <row r="57" spans="1:23" s="1" customFormat="1" hidden="1" x14ac:dyDescent="0.35">
      <c r="A57" s="23" t="s">
        <v>119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7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</row>
    <row r="58" spans="1:23" s="1" customFormat="1" hidden="1" x14ac:dyDescent="0.35">
      <c r="A58" s="23" t="s">
        <v>208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7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</row>
    <row r="59" spans="1:23" hidden="1" x14ac:dyDescent="0.35">
      <c r="A59" s="23" t="s">
        <v>121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7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</row>
    <row r="60" spans="1:23" s="1" customFormat="1" hidden="1" x14ac:dyDescent="0.35">
      <c r="A60" s="23" t="s">
        <v>123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7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</row>
    <row r="61" spans="1:23" hidden="1" x14ac:dyDescent="0.35">
      <c r="A61" s="23" t="s">
        <v>125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7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1:23" hidden="1" x14ac:dyDescent="0.35">
      <c r="A62" s="23" t="s">
        <v>127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7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</row>
    <row r="63" spans="1:23" s="1" customFormat="1" hidden="1" x14ac:dyDescent="0.35">
      <c r="A63" s="23" t="s">
        <v>129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1</v>
      </c>
      <c r="K63" s="3">
        <v>0</v>
      </c>
      <c r="L63" s="7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1:23" customFormat="1" ht="14.5" x14ac:dyDescent="0.35">
      <c r="A64" s="23" t="s">
        <v>131</v>
      </c>
      <c r="B64" s="3">
        <v>0</v>
      </c>
      <c r="C64" s="3">
        <v>0</v>
      </c>
      <c r="D64" s="3">
        <v>1</v>
      </c>
      <c r="E64" s="3">
        <v>0</v>
      </c>
      <c r="F64" s="3">
        <v>0</v>
      </c>
      <c r="G64" s="3">
        <v>0</v>
      </c>
      <c r="H64" s="3">
        <v>1</v>
      </c>
      <c r="I64" s="3">
        <v>0</v>
      </c>
      <c r="J64" s="3">
        <v>0</v>
      </c>
      <c r="K64" s="3">
        <v>0</v>
      </c>
      <c r="L64" s="7">
        <v>0</v>
      </c>
      <c r="M64" s="3">
        <v>2</v>
      </c>
      <c r="N64" s="3">
        <v>0</v>
      </c>
      <c r="O64" s="3">
        <v>0</v>
      </c>
      <c r="P64" s="3">
        <v>0</v>
      </c>
      <c r="Q64" s="3">
        <v>0</v>
      </c>
      <c r="R64" s="3">
        <v>3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1:23" s="1" customFormat="1" hidden="1" x14ac:dyDescent="0.35">
      <c r="A65" s="23" t="s">
        <v>133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7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1:23" s="21" customFormat="1" ht="14.5" hidden="1" x14ac:dyDescent="0.35">
      <c r="A66" s="23" t="s">
        <v>135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7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</row>
    <row r="67" spans="1:23" s="1" customFormat="1" hidden="1" x14ac:dyDescent="0.35">
      <c r="A67" s="23" t="s">
        <v>137</v>
      </c>
      <c r="B67" s="3">
        <v>0</v>
      </c>
      <c r="C67" s="3">
        <v>0</v>
      </c>
      <c r="D67" s="3">
        <v>2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7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</row>
    <row r="68" spans="1:23" s="1" customFormat="1" hidden="1" x14ac:dyDescent="0.35">
      <c r="A68" s="23" t="s">
        <v>139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1</v>
      </c>
      <c r="K68" s="3">
        <v>0</v>
      </c>
      <c r="L68" s="7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1:23" s="1" customFormat="1" hidden="1" x14ac:dyDescent="0.35">
      <c r="A69" s="23" t="s">
        <v>141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7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1:23" customFormat="1" ht="14.5" hidden="1" x14ac:dyDescent="0.35">
      <c r="A70" s="23" t="s">
        <v>143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1</v>
      </c>
      <c r="I70" s="3">
        <v>0</v>
      </c>
      <c r="J70" s="3">
        <v>0</v>
      </c>
      <c r="K70" s="3">
        <v>0</v>
      </c>
      <c r="L70" s="7">
        <v>0</v>
      </c>
      <c r="M70" s="3">
        <v>1</v>
      </c>
      <c r="N70" s="3">
        <v>0</v>
      </c>
      <c r="O70" s="3">
        <v>0</v>
      </c>
      <c r="P70" s="3">
        <v>0</v>
      </c>
      <c r="Q70" s="3">
        <v>1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1:23" customFormat="1" ht="14.5" hidden="1" x14ac:dyDescent="0.35">
      <c r="A71" s="23" t="s">
        <v>145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7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1:23" s="21" customFormat="1" ht="14.5" hidden="1" x14ac:dyDescent="0.35">
      <c r="A72" s="23" t="s">
        <v>147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1</v>
      </c>
      <c r="K72" s="3">
        <v>0</v>
      </c>
      <c r="L72" s="7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</row>
    <row r="73" spans="1:23" customFormat="1" ht="14.5" x14ac:dyDescent="0.35">
      <c r="A73" s="23" t="s">
        <v>149</v>
      </c>
      <c r="B73" s="3">
        <v>2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1</v>
      </c>
      <c r="I73" s="3">
        <v>0</v>
      </c>
      <c r="J73" s="3">
        <v>0</v>
      </c>
      <c r="K73" s="3">
        <v>0</v>
      </c>
      <c r="L73" s="7">
        <v>0</v>
      </c>
      <c r="M73" s="3">
        <v>0</v>
      </c>
      <c r="N73" s="3">
        <v>0</v>
      </c>
      <c r="O73" s="3">
        <v>0</v>
      </c>
      <c r="P73" s="3">
        <v>0</v>
      </c>
      <c r="Q73" s="3">
        <v>2</v>
      </c>
      <c r="R73" s="3">
        <v>1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1:23" s="1" customFormat="1" hidden="1" x14ac:dyDescent="0.35">
      <c r="A74" s="23" t="s">
        <v>151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1</v>
      </c>
      <c r="I74" s="3">
        <v>0</v>
      </c>
      <c r="J74" s="3">
        <v>0</v>
      </c>
      <c r="K74" s="3">
        <v>2</v>
      </c>
      <c r="L74" s="7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1:23" s="1" customFormat="1" hidden="1" x14ac:dyDescent="0.35">
      <c r="A75" s="23" t="s">
        <v>153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7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1:23" customFormat="1" ht="14.5" hidden="1" x14ac:dyDescent="0.35">
      <c r="A76" s="23" t="s">
        <v>155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7">
        <v>0</v>
      </c>
      <c r="M76" s="3">
        <v>0</v>
      </c>
      <c r="N76" s="3">
        <v>0</v>
      </c>
      <c r="O76" s="3">
        <v>0</v>
      </c>
      <c r="P76" s="3">
        <v>0</v>
      </c>
      <c r="Q76" s="3">
        <v>1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</row>
    <row r="77" spans="1:23" customFormat="1" ht="14.5" hidden="1" x14ac:dyDescent="0.35">
      <c r="A77" s="23" t="s">
        <v>157</v>
      </c>
      <c r="B77" s="3">
        <v>1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7">
        <v>0</v>
      </c>
      <c r="M77" s="3">
        <v>1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8" spans="1:23" customFormat="1" ht="14.5" hidden="1" x14ac:dyDescent="0.35">
      <c r="A78" s="23" t="s">
        <v>159</v>
      </c>
      <c r="B78" s="3">
        <v>0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7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</row>
    <row r="79" spans="1:23" customFormat="1" ht="14.5" hidden="1" x14ac:dyDescent="0.35">
      <c r="A79" s="23" t="s">
        <v>204</v>
      </c>
      <c r="B79" s="3">
        <v>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7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</row>
    <row r="80" spans="1:23" customFormat="1" ht="14.5" hidden="1" x14ac:dyDescent="0.35">
      <c r="A80" s="23" t="s">
        <v>161</v>
      </c>
      <c r="B80" s="3">
        <v>0</v>
      </c>
      <c r="C80" s="3">
        <v>0</v>
      </c>
      <c r="D80" s="3">
        <v>1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7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</row>
    <row r="81" spans="1:23" customFormat="1" ht="14.5" hidden="1" x14ac:dyDescent="0.35">
      <c r="A81" s="23" t="s">
        <v>163</v>
      </c>
      <c r="B81" s="3">
        <v>0</v>
      </c>
      <c r="C81" s="3">
        <v>1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3</v>
      </c>
      <c r="J81" s="3">
        <v>0</v>
      </c>
      <c r="K81" s="3">
        <v>0</v>
      </c>
      <c r="L81" s="7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</row>
    <row r="82" spans="1:23" customFormat="1" ht="14.5" hidden="1" x14ac:dyDescent="0.35">
      <c r="A82" s="23" t="s">
        <v>165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7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</row>
    <row r="83" spans="1:23" customFormat="1" ht="14.5" hidden="1" x14ac:dyDescent="0.35">
      <c r="A83" s="23" t="s">
        <v>190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7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</row>
    <row r="84" spans="1:23" customFormat="1" ht="14.5" hidden="1" x14ac:dyDescent="0.35">
      <c r="A84" s="23" t="s">
        <v>205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7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1:23" customFormat="1" ht="14.5" hidden="1" x14ac:dyDescent="0.35">
      <c r="A85" s="23" t="s">
        <v>206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7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1:23" s="1" customFormat="1" hidden="1" x14ac:dyDescent="0.35">
      <c r="A86" s="23" t="s">
        <v>167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1</v>
      </c>
      <c r="I86" s="3">
        <v>0</v>
      </c>
      <c r="J86" s="3">
        <v>0</v>
      </c>
      <c r="K86" s="3">
        <v>0</v>
      </c>
      <c r="L86" s="7">
        <v>0</v>
      </c>
      <c r="M86" s="3">
        <v>2</v>
      </c>
      <c r="N86" s="3">
        <v>0</v>
      </c>
      <c r="O86" s="3">
        <v>0</v>
      </c>
      <c r="P86" s="3">
        <v>0</v>
      </c>
      <c r="Q86" s="3">
        <v>2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1:23" s="1" customFormat="1" hidden="1" x14ac:dyDescent="0.35">
      <c r="A87" s="23" t="s">
        <v>192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7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1:23" customFormat="1" ht="14.5" x14ac:dyDescent="0.35">
      <c r="A88" s="23" t="s">
        <v>170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4</v>
      </c>
      <c r="H88" s="3">
        <v>1</v>
      </c>
      <c r="I88" s="3">
        <v>0</v>
      </c>
      <c r="J88" s="3">
        <v>5</v>
      </c>
      <c r="K88" s="3">
        <v>0</v>
      </c>
      <c r="L88" s="7">
        <v>3</v>
      </c>
      <c r="M88" s="3">
        <v>0</v>
      </c>
      <c r="N88" s="3">
        <v>5</v>
      </c>
      <c r="O88" s="3">
        <v>0</v>
      </c>
      <c r="P88" s="3">
        <v>5</v>
      </c>
      <c r="Q88" s="3">
        <v>5</v>
      </c>
      <c r="R88" s="3">
        <v>2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1:23" s="1" customFormat="1" x14ac:dyDescent="0.35">
      <c r="A89" s="23" t="s">
        <v>172</v>
      </c>
      <c r="B89" s="3">
        <v>0</v>
      </c>
      <c r="C89" s="3">
        <v>4</v>
      </c>
      <c r="D89" s="3">
        <v>0</v>
      </c>
      <c r="E89" s="3">
        <v>4</v>
      </c>
      <c r="F89" s="3">
        <v>10</v>
      </c>
      <c r="G89" s="3">
        <v>4</v>
      </c>
      <c r="H89" s="3">
        <v>5</v>
      </c>
      <c r="I89" s="3">
        <v>0</v>
      </c>
      <c r="J89" s="3">
        <v>0</v>
      </c>
      <c r="K89" s="3">
        <v>8</v>
      </c>
      <c r="L89" s="7">
        <v>3</v>
      </c>
      <c r="M89" s="3">
        <v>5</v>
      </c>
      <c r="N89" s="3">
        <v>3</v>
      </c>
      <c r="O89" s="3">
        <v>5</v>
      </c>
      <c r="P89" s="3">
        <v>0</v>
      </c>
      <c r="Q89" s="3">
        <v>9</v>
      </c>
      <c r="R89" s="3">
        <v>2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</row>
    <row r="90" spans="1:23" s="1" customFormat="1" x14ac:dyDescent="0.35">
      <c r="A90" s="23" t="s">
        <v>174</v>
      </c>
      <c r="B90" s="3">
        <v>0</v>
      </c>
      <c r="C90" s="3">
        <v>4</v>
      </c>
      <c r="D90" s="3">
        <v>5</v>
      </c>
      <c r="E90" s="3">
        <v>0</v>
      </c>
      <c r="F90" s="3">
        <v>10</v>
      </c>
      <c r="G90" s="3">
        <v>4</v>
      </c>
      <c r="H90" s="3">
        <v>0</v>
      </c>
      <c r="I90" s="3">
        <v>0</v>
      </c>
      <c r="J90" s="3">
        <v>0</v>
      </c>
      <c r="K90" s="3">
        <v>6</v>
      </c>
      <c r="L90" s="7">
        <v>0</v>
      </c>
      <c r="M90" s="3">
        <v>0</v>
      </c>
      <c r="N90" s="3">
        <v>3</v>
      </c>
      <c r="O90" s="3">
        <v>3</v>
      </c>
      <c r="P90" s="3">
        <v>3</v>
      </c>
      <c r="Q90" s="3">
        <v>0</v>
      </c>
      <c r="R90" s="3">
        <v>6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</row>
    <row r="91" spans="1:23" s="1" customFormat="1" hidden="1" x14ac:dyDescent="0.35">
      <c r="A91" s="23" t="s">
        <v>176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7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</row>
    <row r="92" spans="1:23" s="1" customFormat="1" hidden="1" x14ac:dyDescent="0.35">
      <c r="A92" s="23" t="s">
        <v>178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7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1:23" s="1" customFormat="1" hidden="1" x14ac:dyDescent="0.35">
      <c r="A93" s="23" t="s">
        <v>180</v>
      </c>
      <c r="B93" s="3">
        <v>0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7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1:23" s="1" customFormat="1" hidden="1" x14ac:dyDescent="0.35">
      <c r="A94" s="23" t="s">
        <v>197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1</v>
      </c>
      <c r="L94" s="7">
        <v>0</v>
      </c>
      <c r="M94" s="3">
        <v>1</v>
      </c>
      <c r="N94" s="3">
        <v>4</v>
      </c>
      <c r="O94" s="3">
        <v>1</v>
      </c>
      <c r="P94" s="3">
        <v>1</v>
      </c>
      <c r="Q94" s="3">
        <v>1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</row>
    <row r="95" spans="1:23" s="1" customFormat="1" hidden="1" x14ac:dyDescent="0.35">
      <c r="A95" s="23" t="s">
        <v>199</v>
      </c>
      <c r="B95" s="3">
        <v>0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7">
        <v>0</v>
      </c>
      <c r="M95" s="3">
        <v>0</v>
      </c>
      <c r="N95" s="3">
        <v>1</v>
      </c>
      <c r="O95" s="3">
        <v>0</v>
      </c>
      <c r="P95" s="3">
        <v>1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</row>
    <row r="96" spans="1:23" s="1" customFormat="1" hidden="1" x14ac:dyDescent="0.35">
      <c r="A96" s="23" t="s">
        <v>183</v>
      </c>
      <c r="B96" s="3">
        <v>9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3</v>
      </c>
      <c r="I96" s="3">
        <v>0</v>
      </c>
      <c r="J96" s="3">
        <v>1</v>
      </c>
      <c r="K96" s="3">
        <v>0</v>
      </c>
      <c r="L96" s="7">
        <v>0</v>
      </c>
      <c r="M96" s="3">
        <v>0</v>
      </c>
      <c r="N96" s="3">
        <v>0</v>
      </c>
      <c r="O96" s="3">
        <v>0</v>
      </c>
      <c r="P96" s="3">
        <v>4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1:23" s="1" customFormat="1" hidden="1" x14ac:dyDescent="0.35">
      <c r="A97" s="23" t="s">
        <v>185</v>
      </c>
      <c r="B97" s="3">
        <v>0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3</v>
      </c>
      <c r="I97" s="3">
        <v>0</v>
      </c>
      <c r="J97" s="3">
        <v>8</v>
      </c>
      <c r="K97" s="3">
        <v>0</v>
      </c>
      <c r="L97" s="7">
        <v>0</v>
      </c>
      <c r="M97" s="3">
        <v>0</v>
      </c>
      <c r="N97" s="3">
        <v>0</v>
      </c>
      <c r="O97" s="3">
        <v>0</v>
      </c>
      <c r="P97" s="3">
        <v>0</v>
      </c>
      <c r="Q97" s="3">
        <v>6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1:23" s="1" customFormat="1" hidden="1" x14ac:dyDescent="0.35">
      <c r="A98" s="24"/>
      <c r="B98" s="5">
        <f>SUM(B96:B97)</f>
        <v>9</v>
      </c>
      <c r="C98" s="5">
        <f t="shared" ref="C98:F98" si="0">SUM(C96:C97)</f>
        <v>0</v>
      </c>
      <c r="D98" s="5">
        <f t="shared" si="0"/>
        <v>0</v>
      </c>
      <c r="E98" s="5">
        <f t="shared" si="0"/>
        <v>0</v>
      </c>
      <c r="F98" s="5">
        <f t="shared" si="0"/>
        <v>0</v>
      </c>
      <c r="G98" s="5">
        <f t="shared" ref="G98:I98" si="1">SUM(G96:G97)</f>
        <v>0</v>
      </c>
      <c r="H98" s="5">
        <f t="shared" si="1"/>
        <v>6</v>
      </c>
      <c r="I98" s="5">
        <f t="shared" si="1"/>
        <v>0</v>
      </c>
      <c r="J98" s="5">
        <f>SUM(J96:J97)</f>
        <v>9</v>
      </c>
      <c r="K98" s="5">
        <f t="shared" ref="K98:T98" si="2">SUM(K96:K97)</f>
        <v>0</v>
      </c>
      <c r="L98" s="5">
        <f t="shared" si="2"/>
        <v>0</v>
      </c>
      <c r="M98" s="5">
        <f t="shared" si="2"/>
        <v>0</v>
      </c>
      <c r="N98" s="5">
        <f t="shared" si="2"/>
        <v>0</v>
      </c>
      <c r="O98" s="5">
        <f t="shared" si="2"/>
        <v>0</v>
      </c>
      <c r="P98" s="5">
        <f t="shared" si="2"/>
        <v>4</v>
      </c>
      <c r="Q98" s="5">
        <f t="shared" si="2"/>
        <v>6</v>
      </c>
      <c r="R98" s="5">
        <f t="shared" si="2"/>
        <v>0</v>
      </c>
      <c r="S98" s="5">
        <f t="shared" si="2"/>
        <v>0</v>
      </c>
      <c r="T98" s="5">
        <f t="shared" si="2"/>
        <v>0</v>
      </c>
      <c r="U98" s="5">
        <f t="shared" ref="U98:W98" si="3">SUM(U96:U97)</f>
        <v>0</v>
      </c>
      <c r="V98" s="5">
        <f t="shared" ref="V98" si="4">SUM(V96:V97)</f>
        <v>0</v>
      </c>
      <c r="W98" s="5">
        <f t="shared" si="3"/>
        <v>0</v>
      </c>
    </row>
    <row r="99" spans="1:23" s="1" customFormat="1" hidden="1" x14ac:dyDescent="0.35">
      <c r="A99" s="18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</row>
    <row r="100" spans="1:23" s="1" customFormat="1" hidden="1" x14ac:dyDescent="0.35">
      <c r="A100" s="8"/>
      <c r="B100" s="7">
        <f t="shared" ref="B100" si="5">B98</f>
        <v>9</v>
      </c>
      <c r="C100" s="7">
        <f t="shared" ref="C100" si="6">C98</f>
        <v>0</v>
      </c>
      <c r="D100" s="7">
        <f t="shared" ref="D100:E100" si="7">D98</f>
        <v>0</v>
      </c>
      <c r="E100" s="7">
        <f t="shared" si="7"/>
        <v>0</v>
      </c>
      <c r="F100" s="7">
        <f t="shared" ref="F100" si="8">F98</f>
        <v>0</v>
      </c>
      <c r="G100" s="7">
        <f t="shared" ref="G100:H100" si="9">G98</f>
        <v>0</v>
      </c>
      <c r="H100" s="7">
        <f t="shared" si="9"/>
        <v>6</v>
      </c>
      <c r="I100" s="7">
        <f t="shared" ref="I100" si="10">I98</f>
        <v>0</v>
      </c>
      <c r="J100" s="7">
        <f>J98</f>
        <v>9</v>
      </c>
      <c r="K100" s="7">
        <f t="shared" ref="K100" si="11">K98</f>
        <v>0</v>
      </c>
      <c r="L100" s="7">
        <f t="shared" ref="L100:R100" si="12">L98</f>
        <v>0</v>
      </c>
      <c r="M100" s="7">
        <f t="shared" si="12"/>
        <v>0</v>
      </c>
      <c r="N100" s="7">
        <f t="shared" si="12"/>
        <v>0</v>
      </c>
      <c r="O100" s="7">
        <f t="shared" si="12"/>
        <v>0</v>
      </c>
      <c r="P100" s="7">
        <f t="shared" si="12"/>
        <v>4</v>
      </c>
      <c r="Q100" s="7">
        <f t="shared" si="12"/>
        <v>6</v>
      </c>
      <c r="R100" s="7">
        <f t="shared" si="12"/>
        <v>0</v>
      </c>
      <c r="S100" s="7">
        <f t="shared" ref="S100:W100" si="13">S98</f>
        <v>0</v>
      </c>
      <c r="T100" s="7">
        <f t="shared" si="13"/>
        <v>0</v>
      </c>
      <c r="U100" s="7">
        <f t="shared" si="13"/>
        <v>0</v>
      </c>
      <c r="V100" s="7">
        <f t="shared" ref="V100" si="14">V98</f>
        <v>0</v>
      </c>
      <c r="W100" s="7">
        <f t="shared" si="13"/>
        <v>0</v>
      </c>
    </row>
    <row r="101" spans="1:23" s="1" customFormat="1" x14ac:dyDescent="0.35">
      <c r="A101" s="8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</row>
  </sheetData>
  <autoFilter ref="A1:W100" xr:uid="{00000000-0001-0000-0000-000000000000}">
    <filterColumn colId="17">
      <filters>
        <filter val="1"/>
        <filter val="10"/>
        <filter val="11"/>
        <filter val="16"/>
        <filter val="2"/>
        <filter val="3"/>
        <filter val="31"/>
        <filter val="4"/>
        <filter val="58"/>
        <filter val="6"/>
        <filter val="8"/>
        <filter val="889"/>
      </filters>
    </filterColumn>
  </autoFilter>
  <phoneticPr fontId="24" type="noConversion"/>
  <conditionalFormatting sqref="B1:W1">
    <cfRule type="duplicateValues" dxfId="6" priority="1" stopIfTrue="1"/>
  </conditionalFormatting>
  <conditionalFormatting sqref="A1">
    <cfRule type="duplicateValues" dxfId="0" priority="100" stopIfTrue="1"/>
  </conditionalFormatting>
  <pageMargins left="0.7" right="0.7" top="0.75" bottom="0.75" header="0.3" footer="0.3"/>
  <pageSetup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pageSetUpPr fitToPage="1"/>
  </sheetPr>
  <dimension ref="A1:AF113"/>
  <sheetViews>
    <sheetView topLeftCell="A22" zoomScale="115" zoomScaleNormal="115" workbookViewId="0">
      <selection activeCell="A64" sqref="A64"/>
    </sheetView>
  </sheetViews>
  <sheetFormatPr defaultColWidth="9.1796875" defaultRowHeight="14.5" x14ac:dyDescent="0.35"/>
  <cols>
    <col min="1" max="1" width="13.1796875" style="21" customWidth="1"/>
    <col min="2" max="2" width="29.26953125" style="21" customWidth="1"/>
    <col min="3" max="4" width="6.81640625" style="21" hidden="1" customWidth="1"/>
    <col min="5" max="10" width="6.7265625" style="21" hidden="1" customWidth="1"/>
    <col min="11" max="19" width="7.1796875" style="21" hidden="1" customWidth="1"/>
    <col min="20" max="20" width="7.1796875" style="21" customWidth="1"/>
    <col min="21" max="24" width="7.1796875" style="21" hidden="1" customWidth="1"/>
    <col min="25" max="26" width="7.1796875" style="21" customWidth="1"/>
    <col min="27" max="29" width="7.453125" style="21" customWidth="1"/>
    <col min="30" max="30" width="6.453125" style="21" customWidth="1"/>
    <col min="31" max="31" width="5.54296875" style="21" bestFit="1" customWidth="1"/>
    <col min="32" max="32" width="4.81640625" style="21" customWidth="1"/>
    <col min="33" max="35" width="9.1796875" style="21"/>
    <col min="36" max="36" width="11.1796875" style="21" bestFit="1" customWidth="1"/>
    <col min="37" max="16384" width="9.1796875" style="21"/>
  </cols>
  <sheetData>
    <row r="1" spans="1:32" x14ac:dyDescent="0.35">
      <c r="A1" s="12" t="s">
        <v>211</v>
      </c>
      <c r="B1" s="12" t="s">
        <v>0</v>
      </c>
      <c r="C1" s="13">
        <v>45992</v>
      </c>
      <c r="D1" s="13">
        <v>45993</v>
      </c>
      <c r="E1" s="13">
        <v>45994</v>
      </c>
      <c r="F1" s="13">
        <v>45995</v>
      </c>
      <c r="G1" s="13">
        <v>45996</v>
      </c>
      <c r="H1" s="13">
        <v>45997</v>
      </c>
      <c r="I1" s="13">
        <v>45999</v>
      </c>
      <c r="J1" s="13">
        <v>46000</v>
      </c>
      <c r="K1" s="13">
        <v>46001</v>
      </c>
      <c r="L1" s="13">
        <v>46002</v>
      </c>
      <c r="M1" s="13">
        <v>46003</v>
      </c>
      <c r="N1" s="13">
        <v>46006</v>
      </c>
      <c r="O1" s="13">
        <v>46007</v>
      </c>
      <c r="P1" s="13">
        <v>46008</v>
      </c>
      <c r="Q1" s="13">
        <v>46009</v>
      </c>
      <c r="R1" s="13">
        <v>46010</v>
      </c>
      <c r="S1" s="13">
        <v>46013</v>
      </c>
      <c r="T1" s="13">
        <v>46014</v>
      </c>
      <c r="U1" s="13">
        <v>46015</v>
      </c>
      <c r="V1" s="13">
        <v>46020</v>
      </c>
      <c r="W1" s="13">
        <v>46021</v>
      </c>
      <c r="X1" s="13">
        <v>46022</v>
      </c>
      <c r="Y1" s="13" t="s">
        <v>218</v>
      </c>
      <c r="Z1" s="13" t="s">
        <v>214</v>
      </c>
      <c r="AA1" s="13" t="s">
        <v>201</v>
      </c>
      <c r="AB1" s="13" t="s">
        <v>189</v>
      </c>
      <c r="AC1" s="13" t="s">
        <v>210</v>
      </c>
      <c r="AD1" s="13" t="s">
        <v>215</v>
      </c>
      <c r="AE1" s="13" t="s">
        <v>216</v>
      </c>
      <c r="AF1" s="13" t="s">
        <v>217</v>
      </c>
    </row>
    <row r="2" spans="1:32" ht="15.5" x14ac:dyDescent="0.35">
      <c r="A2" s="2" t="s">
        <v>1</v>
      </c>
      <c r="B2" s="29" t="s">
        <v>2</v>
      </c>
      <c r="C2" s="14">
        <v>20</v>
      </c>
      <c r="D2" s="14">
        <v>21</v>
      </c>
      <c r="E2" s="14">
        <v>12</v>
      </c>
      <c r="F2" s="14">
        <v>18</v>
      </c>
      <c r="G2" s="26">
        <v>11</v>
      </c>
      <c r="H2" s="14">
        <v>11</v>
      </c>
      <c r="I2" s="14">
        <v>8</v>
      </c>
      <c r="J2" s="14">
        <v>16</v>
      </c>
      <c r="K2" s="14">
        <v>13</v>
      </c>
      <c r="L2" s="14">
        <v>6</v>
      </c>
      <c r="M2" s="14">
        <v>14</v>
      </c>
      <c r="N2" s="14">
        <v>23</v>
      </c>
      <c r="O2" s="14">
        <v>23</v>
      </c>
      <c r="P2" s="14">
        <v>22</v>
      </c>
      <c r="Q2" s="14">
        <v>24</v>
      </c>
      <c r="R2" s="14">
        <v>23</v>
      </c>
      <c r="S2" s="14">
        <v>26</v>
      </c>
      <c r="T2" s="14">
        <v>26</v>
      </c>
      <c r="U2" s="14">
        <v>0</v>
      </c>
      <c r="V2" s="14">
        <v>0</v>
      </c>
      <c r="W2" s="14">
        <v>0</v>
      </c>
      <c r="X2" s="14">
        <v>0</v>
      </c>
      <c r="Y2" s="3">
        <v>26</v>
      </c>
      <c r="Z2" s="3" t="s">
        <v>219</v>
      </c>
      <c r="AA2" s="30"/>
      <c r="AB2" s="30"/>
      <c r="AC2" s="30"/>
      <c r="AD2" s="30">
        <v>62</v>
      </c>
      <c r="AE2" s="31">
        <v>13</v>
      </c>
      <c r="AF2" s="30"/>
    </row>
    <row r="3" spans="1:32" ht="15.5" x14ac:dyDescent="0.35">
      <c r="A3" s="2" t="s">
        <v>3</v>
      </c>
      <c r="B3" s="29" t="s">
        <v>4</v>
      </c>
      <c r="C3" s="14">
        <v>10</v>
      </c>
      <c r="D3" s="14">
        <v>12</v>
      </c>
      <c r="E3" s="14">
        <v>13</v>
      </c>
      <c r="F3" s="14">
        <v>14</v>
      </c>
      <c r="G3" s="26">
        <v>12</v>
      </c>
      <c r="H3" s="14">
        <v>14</v>
      </c>
      <c r="I3" s="14">
        <v>10</v>
      </c>
      <c r="J3" s="14">
        <v>16</v>
      </c>
      <c r="K3" s="14">
        <v>15</v>
      </c>
      <c r="L3" s="14">
        <v>13</v>
      </c>
      <c r="M3" s="14">
        <v>13</v>
      </c>
      <c r="N3" s="14">
        <v>12</v>
      </c>
      <c r="O3" s="14">
        <v>13</v>
      </c>
      <c r="P3" s="14">
        <v>12</v>
      </c>
      <c r="Q3" s="14">
        <v>11</v>
      </c>
      <c r="R3" s="14">
        <v>8</v>
      </c>
      <c r="S3" s="14">
        <v>12</v>
      </c>
      <c r="T3" s="14">
        <v>15</v>
      </c>
      <c r="U3" s="14">
        <v>0</v>
      </c>
      <c r="V3" s="14">
        <v>0</v>
      </c>
      <c r="W3" s="14">
        <v>0</v>
      </c>
      <c r="X3" s="14">
        <v>0</v>
      </c>
      <c r="Y3" s="3">
        <v>15</v>
      </c>
      <c r="Z3" s="3">
        <v>9</v>
      </c>
      <c r="AA3" s="30"/>
      <c r="AB3" s="30"/>
      <c r="AC3" s="30"/>
      <c r="AD3" s="30">
        <v>71</v>
      </c>
      <c r="AE3" s="31">
        <v>8</v>
      </c>
      <c r="AF3" s="30"/>
    </row>
    <row r="4" spans="1:32" ht="15.5" hidden="1" x14ac:dyDescent="0.35">
      <c r="A4" s="2" t="s">
        <v>5</v>
      </c>
      <c r="B4" s="29" t="s">
        <v>6</v>
      </c>
      <c r="C4" s="14">
        <v>0</v>
      </c>
      <c r="D4" s="14">
        <v>0</v>
      </c>
      <c r="E4" s="14">
        <v>0</v>
      </c>
      <c r="F4" s="14">
        <v>0</v>
      </c>
      <c r="G4" s="26">
        <v>0</v>
      </c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>
        <v>0</v>
      </c>
      <c r="O4" s="14">
        <v>0</v>
      </c>
      <c r="P4" s="14">
        <v>0</v>
      </c>
      <c r="Q4" s="14">
        <v>0</v>
      </c>
      <c r="R4" s="14">
        <v>0</v>
      </c>
      <c r="S4" s="14">
        <v>0</v>
      </c>
      <c r="T4" s="14">
        <v>0</v>
      </c>
      <c r="U4" s="14">
        <v>0</v>
      </c>
      <c r="V4" s="14">
        <v>0</v>
      </c>
      <c r="W4" s="14">
        <v>0</v>
      </c>
      <c r="X4" s="14">
        <v>0</v>
      </c>
      <c r="Y4" s="3">
        <v>0</v>
      </c>
      <c r="Z4" s="3"/>
      <c r="AA4" s="31"/>
      <c r="AB4" s="31"/>
      <c r="AC4" s="31"/>
      <c r="AD4" s="30">
        <v>5</v>
      </c>
      <c r="AE4" s="31">
        <v>2</v>
      </c>
      <c r="AF4" s="31"/>
    </row>
    <row r="5" spans="1:32" ht="15.5" hidden="1" x14ac:dyDescent="0.35">
      <c r="A5" s="2" t="s">
        <v>7</v>
      </c>
      <c r="B5" s="29" t="s">
        <v>8</v>
      </c>
      <c r="C5" s="14">
        <v>0</v>
      </c>
      <c r="D5" s="14">
        <v>0</v>
      </c>
      <c r="E5" s="14">
        <v>0</v>
      </c>
      <c r="F5" s="14">
        <v>0</v>
      </c>
      <c r="G5" s="26">
        <v>0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3">
        <v>0</v>
      </c>
      <c r="Z5" s="3"/>
      <c r="AA5" s="31"/>
      <c r="AB5" s="31"/>
      <c r="AC5" s="31"/>
      <c r="AD5" s="30">
        <v>0</v>
      </c>
      <c r="AE5" s="31">
        <v>0</v>
      </c>
      <c r="AF5" s="31"/>
    </row>
    <row r="6" spans="1:32" ht="15.5" x14ac:dyDescent="0.35">
      <c r="A6" s="2" t="s">
        <v>9</v>
      </c>
      <c r="B6" s="29" t="s">
        <v>10</v>
      </c>
      <c r="C6" s="14">
        <v>1</v>
      </c>
      <c r="D6" s="14">
        <v>0</v>
      </c>
      <c r="E6" s="14">
        <v>0</v>
      </c>
      <c r="F6" s="14">
        <v>2</v>
      </c>
      <c r="G6" s="26">
        <v>2</v>
      </c>
      <c r="H6" s="14">
        <v>2</v>
      </c>
      <c r="I6" s="14">
        <v>2</v>
      </c>
      <c r="J6" s="14">
        <v>0</v>
      </c>
      <c r="K6" s="14">
        <v>2</v>
      </c>
      <c r="L6" s="14">
        <v>3</v>
      </c>
      <c r="M6" s="14">
        <v>0</v>
      </c>
      <c r="N6" s="14">
        <v>1</v>
      </c>
      <c r="O6" s="14">
        <v>2</v>
      </c>
      <c r="P6" s="14">
        <v>4</v>
      </c>
      <c r="Q6" s="14">
        <v>4</v>
      </c>
      <c r="R6" s="14">
        <v>5</v>
      </c>
      <c r="S6" s="14">
        <v>7</v>
      </c>
      <c r="T6" s="14">
        <v>8</v>
      </c>
      <c r="U6" s="14">
        <v>0</v>
      </c>
      <c r="V6" s="14">
        <v>0</v>
      </c>
      <c r="W6" s="14">
        <v>0</v>
      </c>
      <c r="X6" s="14">
        <v>0</v>
      </c>
      <c r="Y6" s="3">
        <v>4</v>
      </c>
      <c r="Z6" s="3">
        <v>1</v>
      </c>
      <c r="AA6" s="30"/>
      <c r="AB6" s="30"/>
      <c r="AC6" s="30"/>
      <c r="AD6" s="30">
        <v>13</v>
      </c>
      <c r="AE6" s="31">
        <v>8</v>
      </c>
      <c r="AF6" s="30"/>
    </row>
    <row r="7" spans="1:32" ht="15.5" hidden="1" x14ac:dyDescent="0.35">
      <c r="A7" s="2" t="s">
        <v>11</v>
      </c>
      <c r="B7" s="29" t="s">
        <v>12</v>
      </c>
      <c r="C7" s="14">
        <v>2</v>
      </c>
      <c r="D7" s="14">
        <v>2</v>
      </c>
      <c r="E7" s="14">
        <v>1</v>
      </c>
      <c r="F7" s="14">
        <v>1</v>
      </c>
      <c r="G7" s="26">
        <v>2</v>
      </c>
      <c r="H7" s="14">
        <v>2</v>
      </c>
      <c r="I7" s="14">
        <v>2</v>
      </c>
      <c r="J7" s="14">
        <v>3</v>
      </c>
      <c r="K7" s="14">
        <v>1</v>
      </c>
      <c r="L7" s="14">
        <v>1</v>
      </c>
      <c r="M7" s="14">
        <v>3</v>
      </c>
      <c r="N7" s="14">
        <v>2</v>
      </c>
      <c r="O7" s="14">
        <v>1</v>
      </c>
      <c r="P7" s="14">
        <v>3</v>
      </c>
      <c r="Q7" s="14">
        <v>3</v>
      </c>
      <c r="R7" s="14">
        <v>2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3">
        <v>0</v>
      </c>
      <c r="Z7" s="3"/>
      <c r="AA7" s="30"/>
      <c r="AB7" s="30"/>
      <c r="AC7" s="30"/>
      <c r="AD7" s="30">
        <v>18</v>
      </c>
      <c r="AE7" s="31">
        <v>1</v>
      </c>
      <c r="AF7" s="30"/>
    </row>
    <row r="8" spans="1:32" ht="15.5" hidden="1" x14ac:dyDescent="0.35">
      <c r="A8" s="2" t="s">
        <v>13</v>
      </c>
      <c r="B8" s="29" t="s">
        <v>14</v>
      </c>
      <c r="C8" s="14">
        <v>0</v>
      </c>
      <c r="D8" s="14">
        <v>0</v>
      </c>
      <c r="E8" s="14">
        <v>0</v>
      </c>
      <c r="F8" s="14">
        <v>0</v>
      </c>
      <c r="G8" s="26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3">
        <v>0</v>
      </c>
      <c r="Z8" s="3"/>
      <c r="AA8" s="31"/>
      <c r="AB8" s="31"/>
      <c r="AC8" s="31"/>
      <c r="AD8" s="30">
        <v>0</v>
      </c>
      <c r="AE8" s="31">
        <v>0</v>
      </c>
      <c r="AF8" s="31"/>
    </row>
    <row r="9" spans="1:32" ht="15.5" hidden="1" x14ac:dyDescent="0.35">
      <c r="A9" s="2" t="s">
        <v>15</v>
      </c>
      <c r="B9" s="29" t="s">
        <v>16</v>
      </c>
      <c r="C9" s="14">
        <v>0</v>
      </c>
      <c r="D9" s="14">
        <v>0</v>
      </c>
      <c r="E9" s="14">
        <v>0</v>
      </c>
      <c r="F9" s="14">
        <v>0</v>
      </c>
      <c r="G9" s="26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3">
        <v>0</v>
      </c>
      <c r="Z9" s="3"/>
      <c r="AA9" s="31"/>
      <c r="AB9" s="31"/>
      <c r="AC9" s="31"/>
      <c r="AD9" s="30">
        <v>0</v>
      </c>
      <c r="AE9" s="31">
        <v>0</v>
      </c>
      <c r="AF9" s="31"/>
    </row>
    <row r="10" spans="1:32" ht="15.5" x14ac:dyDescent="0.35">
      <c r="A10" s="2" t="s">
        <v>17</v>
      </c>
      <c r="B10" s="29" t="s">
        <v>18</v>
      </c>
      <c r="C10" s="14">
        <v>1</v>
      </c>
      <c r="D10" s="14">
        <v>2</v>
      </c>
      <c r="E10" s="14">
        <v>2</v>
      </c>
      <c r="F10" s="14">
        <v>1</v>
      </c>
      <c r="G10" s="26">
        <v>1</v>
      </c>
      <c r="H10" s="14">
        <v>2</v>
      </c>
      <c r="I10" s="14">
        <v>2</v>
      </c>
      <c r="J10" s="14">
        <v>2</v>
      </c>
      <c r="K10" s="14">
        <v>2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1</v>
      </c>
      <c r="T10" s="14">
        <v>3</v>
      </c>
      <c r="U10" s="14">
        <v>0</v>
      </c>
      <c r="V10" s="14">
        <v>0</v>
      </c>
      <c r="W10" s="14">
        <v>0</v>
      </c>
      <c r="X10" s="14">
        <v>0</v>
      </c>
      <c r="Y10" s="3">
        <v>0</v>
      </c>
      <c r="Z10" s="3">
        <v>0</v>
      </c>
      <c r="AA10" s="31"/>
      <c r="AB10" s="31"/>
      <c r="AC10" s="31"/>
      <c r="AD10" s="30">
        <v>9</v>
      </c>
      <c r="AE10" s="31">
        <v>1</v>
      </c>
      <c r="AF10" s="31"/>
    </row>
    <row r="11" spans="1:32" ht="15.5" x14ac:dyDescent="0.35">
      <c r="A11" s="2" t="s">
        <v>195</v>
      </c>
      <c r="B11" s="29" t="s">
        <v>196</v>
      </c>
      <c r="C11" s="14">
        <v>1</v>
      </c>
      <c r="D11" s="14">
        <v>1</v>
      </c>
      <c r="E11" s="14">
        <v>1</v>
      </c>
      <c r="F11" s="14">
        <v>1</v>
      </c>
      <c r="G11" s="26">
        <v>1</v>
      </c>
      <c r="H11" s="14">
        <v>0</v>
      </c>
      <c r="I11" s="14">
        <v>0</v>
      </c>
      <c r="J11" s="14">
        <v>0</v>
      </c>
      <c r="K11" s="14">
        <v>1</v>
      </c>
      <c r="L11" s="14">
        <v>1</v>
      </c>
      <c r="M11" s="14">
        <v>1</v>
      </c>
      <c r="N11" s="14">
        <v>1</v>
      </c>
      <c r="O11" s="14">
        <v>2</v>
      </c>
      <c r="P11" s="14">
        <v>2</v>
      </c>
      <c r="Q11" s="14">
        <v>2</v>
      </c>
      <c r="R11" s="14">
        <v>1</v>
      </c>
      <c r="S11" s="14">
        <v>1</v>
      </c>
      <c r="T11" s="14">
        <v>1</v>
      </c>
      <c r="U11" s="14">
        <v>0</v>
      </c>
      <c r="V11" s="14">
        <v>0</v>
      </c>
      <c r="W11" s="14">
        <v>0</v>
      </c>
      <c r="X11" s="14">
        <v>0</v>
      </c>
      <c r="Y11" s="3">
        <v>0</v>
      </c>
      <c r="Z11" s="3">
        <v>1</v>
      </c>
      <c r="AA11" s="31"/>
      <c r="AB11" s="31"/>
      <c r="AC11" s="31"/>
      <c r="AD11" s="30">
        <v>0</v>
      </c>
      <c r="AE11" s="31">
        <v>0</v>
      </c>
      <c r="AF11" s="31"/>
    </row>
    <row r="12" spans="1:32" ht="15.5" hidden="1" x14ac:dyDescent="0.35">
      <c r="A12" s="2" t="s">
        <v>207</v>
      </c>
      <c r="B12" s="29" t="s">
        <v>19</v>
      </c>
      <c r="C12" s="14">
        <v>0</v>
      </c>
      <c r="D12" s="14">
        <v>0</v>
      </c>
      <c r="E12" s="14">
        <v>0</v>
      </c>
      <c r="F12" s="14">
        <v>0</v>
      </c>
      <c r="G12" s="26">
        <v>1</v>
      </c>
      <c r="H12" s="14">
        <v>1</v>
      </c>
      <c r="I12" s="14">
        <v>1</v>
      </c>
      <c r="J12" s="14">
        <v>1</v>
      </c>
      <c r="K12" s="14">
        <v>1</v>
      </c>
      <c r="L12" s="14">
        <v>1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3">
        <v>0</v>
      </c>
      <c r="Z12" s="3"/>
      <c r="AA12" s="31"/>
      <c r="AB12" s="31"/>
      <c r="AC12" s="31"/>
      <c r="AD12" s="30">
        <v>2</v>
      </c>
      <c r="AE12" s="31">
        <v>0</v>
      </c>
      <c r="AF12" s="31"/>
    </row>
    <row r="13" spans="1:32" ht="15.5" hidden="1" x14ac:dyDescent="0.35">
      <c r="A13" s="2" t="s">
        <v>20</v>
      </c>
      <c r="B13" s="29" t="s">
        <v>21</v>
      </c>
      <c r="C13" s="14">
        <v>0</v>
      </c>
      <c r="D13" s="14">
        <v>0</v>
      </c>
      <c r="E13" s="14">
        <v>0</v>
      </c>
      <c r="F13" s="14">
        <v>0</v>
      </c>
      <c r="G13" s="26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3">
        <v>0</v>
      </c>
      <c r="Z13" s="3"/>
      <c r="AA13" s="31"/>
      <c r="AB13" s="31"/>
      <c r="AC13" s="31"/>
      <c r="AD13" s="30">
        <v>0</v>
      </c>
      <c r="AE13" s="31">
        <v>0</v>
      </c>
      <c r="AF13" s="31"/>
    </row>
    <row r="14" spans="1:32" ht="15.5" hidden="1" x14ac:dyDescent="0.35">
      <c r="A14" s="2" t="s">
        <v>22</v>
      </c>
      <c r="B14" s="29" t="s">
        <v>23</v>
      </c>
      <c r="C14" s="14">
        <v>0</v>
      </c>
      <c r="D14" s="14">
        <v>3</v>
      </c>
      <c r="E14" s="14">
        <v>3</v>
      </c>
      <c r="F14" s="14">
        <v>1</v>
      </c>
      <c r="G14" s="26">
        <v>1</v>
      </c>
      <c r="H14" s="14">
        <v>2</v>
      </c>
      <c r="I14" s="14">
        <v>1</v>
      </c>
      <c r="J14" s="14">
        <v>4</v>
      </c>
      <c r="K14" s="14">
        <v>2</v>
      </c>
      <c r="L14" s="14">
        <v>4</v>
      </c>
      <c r="M14" s="14">
        <v>3</v>
      </c>
      <c r="N14" s="14">
        <v>0</v>
      </c>
      <c r="O14" s="14">
        <v>1</v>
      </c>
      <c r="P14" s="14">
        <v>5</v>
      </c>
      <c r="Q14" s="14">
        <v>4</v>
      </c>
      <c r="R14" s="14">
        <v>2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3">
        <v>0</v>
      </c>
      <c r="Z14" s="3"/>
      <c r="AA14" s="30"/>
      <c r="AB14" s="30"/>
      <c r="AC14" s="30"/>
      <c r="AD14" s="30">
        <v>20</v>
      </c>
      <c r="AE14" s="31">
        <v>0</v>
      </c>
      <c r="AF14" s="30"/>
    </row>
    <row r="15" spans="1:32" ht="15.5" x14ac:dyDescent="0.35">
      <c r="A15" s="2" t="s">
        <v>24</v>
      </c>
      <c r="B15" s="29" t="s">
        <v>25</v>
      </c>
      <c r="C15" s="14">
        <v>5</v>
      </c>
      <c r="D15" s="14">
        <v>3</v>
      </c>
      <c r="E15" s="14">
        <v>2</v>
      </c>
      <c r="F15" s="14">
        <v>1</v>
      </c>
      <c r="G15" s="26">
        <v>2</v>
      </c>
      <c r="H15" s="14">
        <v>0</v>
      </c>
      <c r="I15" s="14">
        <v>0</v>
      </c>
      <c r="J15" s="14">
        <v>0</v>
      </c>
      <c r="K15" s="14">
        <v>0</v>
      </c>
      <c r="L15" s="14">
        <v>1</v>
      </c>
      <c r="M15" s="14">
        <v>3</v>
      </c>
      <c r="N15" s="14">
        <v>5</v>
      </c>
      <c r="O15" s="14">
        <v>8</v>
      </c>
      <c r="P15" s="14">
        <v>8</v>
      </c>
      <c r="Q15" s="14">
        <v>8</v>
      </c>
      <c r="R15" s="14">
        <v>8</v>
      </c>
      <c r="S15" s="14">
        <v>6</v>
      </c>
      <c r="T15" s="14">
        <v>5</v>
      </c>
      <c r="U15" s="14">
        <v>0</v>
      </c>
      <c r="V15" s="14">
        <v>0</v>
      </c>
      <c r="W15" s="14">
        <v>0</v>
      </c>
      <c r="X15" s="14">
        <v>0</v>
      </c>
      <c r="Y15" s="3">
        <v>1</v>
      </c>
      <c r="Z15" s="3">
        <v>10</v>
      </c>
      <c r="AA15" s="30"/>
      <c r="AB15" s="30"/>
      <c r="AC15" s="30"/>
      <c r="AD15" s="30">
        <v>8</v>
      </c>
      <c r="AE15" s="31">
        <v>10</v>
      </c>
      <c r="AF15" s="30"/>
    </row>
    <row r="16" spans="1:32" ht="15.5" hidden="1" x14ac:dyDescent="0.35">
      <c r="A16" s="2" t="s">
        <v>203</v>
      </c>
      <c r="B16" s="29" t="s">
        <v>202</v>
      </c>
      <c r="C16" s="14">
        <v>0</v>
      </c>
      <c r="D16" s="14">
        <v>0</v>
      </c>
      <c r="E16" s="14">
        <v>0</v>
      </c>
      <c r="F16" s="14">
        <v>0</v>
      </c>
      <c r="G16" s="26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3">
        <v>0</v>
      </c>
      <c r="Z16" s="3"/>
      <c r="AA16" s="30"/>
      <c r="AB16" s="30"/>
      <c r="AC16" s="30"/>
      <c r="AD16" s="30">
        <v>0</v>
      </c>
      <c r="AE16" s="31">
        <v>0</v>
      </c>
      <c r="AF16" s="30"/>
    </row>
    <row r="17" spans="1:32" ht="15.5" hidden="1" x14ac:dyDescent="0.35">
      <c r="A17" s="2" t="s">
        <v>26</v>
      </c>
      <c r="B17" s="29" t="s">
        <v>27</v>
      </c>
      <c r="C17" s="14">
        <v>1</v>
      </c>
      <c r="D17" s="14">
        <v>0</v>
      </c>
      <c r="E17" s="14">
        <v>0</v>
      </c>
      <c r="F17" s="14">
        <v>0</v>
      </c>
      <c r="G17" s="26">
        <v>0</v>
      </c>
      <c r="H17" s="14">
        <v>0</v>
      </c>
      <c r="I17" s="14">
        <v>1</v>
      </c>
      <c r="J17" s="14">
        <v>1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3">
        <v>0</v>
      </c>
      <c r="Z17" s="3"/>
      <c r="AA17" s="30"/>
      <c r="AB17" s="30"/>
      <c r="AC17" s="30"/>
      <c r="AD17" s="30">
        <v>7</v>
      </c>
      <c r="AE17" s="31">
        <v>1</v>
      </c>
      <c r="AF17" s="30"/>
    </row>
    <row r="18" spans="1:32" ht="15.5" x14ac:dyDescent="0.35">
      <c r="A18" s="4"/>
      <c r="B18" s="4" t="s">
        <v>29</v>
      </c>
      <c r="C18" s="4">
        <f>SUM(C2:C17)</f>
        <v>41</v>
      </c>
      <c r="D18" s="4">
        <f t="shared" ref="D18:Y18" si="0">SUM(D2:D17)</f>
        <v>44</v>
      </c>
      <c r="E18" s="4">
        <f t="shared" si="0"/>
        <v>34</v>
      </c>
      <c r="F18" s="4">
        <f t="shared" si="0"/>
        <v>39</v>
      </c>
      <c r="G18" s="4">
        <f t="shared" si="0"/>
        <v>33</v>
      </c>
      <c r="H18" s="4">
        <f t="shared" si="0"/>
        <v>34</v>
      </c>
      <c r="I18" s="4">
        <f t="shared" si="0"/>
        <v>27</v>
      </c>
      <c r="J18" s="4">
        <f t="shared" si="0"/>
        <v>43</v>
      </c>
      <c r="K18" s="4">
        <f t="shared" si="0"/>
        <v>37</v>
      </c>
      <c r="L18" s="4">
        <f t="shared" si="0"/>
        <v>30</v>
      </c>
      <c r="M18" s="4">
        <f t="shared" si="0"/>
        <v>37</v>
      </c>
      <c r="N18" s="4">
        <f t="shared" si="0"/>
        <v>44</v>
      </c>
      <c r="O18" s="4">
        <f t="shared" si="0"/>
        <v>50</v>
      </c>
      <c r="P18" s="4">
        <f t="shared" si="0"/>
        <v>56</v>
      </c>
      <c r="Q18" s="4">
        <f t="shared" si="0"/>
        <v>56</v>
      </c>
      <c r="R18" s="4">
        <f t="shared" si="0"/>
        <v>49</v>
      </c>
      <c r="S18" s="4">
        <f t="shared" si="0"/>
        <v>53</v>
      </c>
      <c r="T18" s="4">
        <f t="shared" si="0"/>
        <v>58</v>
      </c>
      <c r="U18" s="4">
        <f t="shared" si="0"/>
        <v>0</v>
      </c>
      <c r="V18" s="4">
        <f t="shared" si="0"/>
        <v>0</v>
      </c>
      <c r="W18" s="4">
        <f t="shared" si="0"/>
        <v>0</v>
      </c>
      <c r="X18" s="4">
        <f t="shared" si="0"/>
        <v>0</v>
      </c>
      <c r="Y18" s="4">
        <f t="shared" si="0"/>
        <v>46</v>
      </c>
      <c r="Z18" s="3"/>
      <c r="AA18" s="30"/>
      <c r="AB18" s="30"/>
      <c r="AC18" s="30"/>
      <c r="AD18" s="30"/>
      <c r="AE18" s="31"/>
      <c r="AF18" s="30"/>
    </row>
    <row r="19" spans="1:32" ht="15.5" hidden="1" x14ac:dyDescent="0.35">
      <c r="A19" s="2" t="s">
        <v>30</v>
      </c>
      <c r="B19" s="29" t="s">
        <v>31</v>
      </c>
      <c r="C19" s="14">
        <v>0</v>
      </c>
      <c r="D19" s="14">
        <v>1</v>
      </c>
      <c r="E19" s="14">
        <v>0</v>
      </c>
      <c r="F19" s="14">
        <v>0</v>
      </c>
      <c r="G19" s="26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1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3">
        <v>0</v>
      </c>
      <c r="Z19" s="3"/>
      <c r="AA19" s="30"/>
      <c r="AB19" s="30"/>
      <c r="AC19" s="30"/>
      <c r="AD19" s="30">
        <v>0</v>
      </c>
      <c r="AE19" s="31">
        <v>0</v>
      </c>
      <c r="AF19" s="30"/>
    </row>
    <row r="20" spans="1:32" ht="15.5" hidden="1" x14ac:dyDescent="0.35">
      <c r="A20" s="2" t="s">
        <v>32</v>
      </c>
      <c r="B20" s="29" t="s">
        <v>33</v>
      </c>
      <c r="C20" s="14">
        <v>0</v>
      </c>
      <c r="D20" s="14">
        <v>0</v>
      </c>
      <c r="E20" s="14">
        <v>0</v>
      </c>
      <c r="F20" s="14">
        <v>0</v>
      </c>
      <c r="G20" s="26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3">
        <v>0</v>
      </c>
      <c r="Z20" s="3"/>
      <c r="AA20" s="31"/>
      <c r="AB20" s="31"/>
      <c r="AC20" s="31"/>
      <c r="AD20" s="30">
        <v>0</v>
      </c>
      <c r="AE20" s="31">
        <v>0</v>
      </c>
      <c r="AF20" s="31"/>
    </row>
    <row r="21" spans="1:32" ht="15.5" x14ac:dyDescent="0.35">
      <c r="A21" s="2" t="s">
        <v>34</v>
      </c>
      <c r="B21" s="29" t="s">
        <v>35</v>
      </c>
      <c r="C21" s="14">
        <v>1</v>
      </c>
      <c r="D21" s="14">
        <v>2</v>
      </c>
      <c r="E21" s="14">
        <v>2</v>
      </c>
      <c r="F21" s="14">
        <v>3</v>
      </c>
      <c r="G21" s="26">
        <v>2</v>
      </c>
      <c r="H21" s="14">
        <v>1</v>
      </c>
      <c r="I21" s="14">
        <v>1</v>
      </c>
      <c r="J21" s="14">
        <v>1</v>
      </c>
      <c r="K21" s="14">
        <v>0</v>
      </c>
      <c r="L21" s="14">
        <v>0</v>
      </c>
      <c r="M21" s="14">
        <v>1</v>
      </c>
      <c r="N21" s="14">
        <v>3</v>
      </c>
      <c r="O21" s="14">
        <v>2</v>
      </c>
      <c r="P21" s="14">
        <v>1</v>
      </c>
      <c r="Q21" s="14">
        <v>1</v>
      </c>
      <c r="R21" s="14">
        <v>0</v>
      </c>
      <c r="S21" s="14">
        <v>1</v>
      </c>
      <c r="T21" s="14">
        <v>1</v>
      </c>
      <c r="U21" s="14">
        <v>0</v>
      </c>
      <c r="V21" s="14">
        <v>0</v>
      </c>
      <c r="W21" s="14">
        <v>0</v>
      </c>
      <c r="X21" s="14">
        <v>0</v>
      </c>
      <c r="Y21" s="3">
        <v>0</v>
      </c>
      <c r="Z21" s="3">
        <v>2</v>
      </c>
      <c r="AA21" s="30"/>
      <c r="AB21" s="30"/>
      <c r="AC21" s="30"/>
      <c r="AD21" s="30">
        <v>3</v>
      </c>
      <c r="AE21" s="31">
        <v>2</v>
      </c>
      <c r="AF21" s="30"/>
    </row>
    <row r="22" spans="1:32" ht="15.5" x14ac:dyDescent="0.35">
      <c r="A22" s="2" t="s">
        <v>36</v>
      </c>
      <c r="B22" s="29" t="s">
        <v>37</v>
      </c>
      <c r="C22" s="14">
        <v>0</v>
      </c>
      <c r="D22" s="14">
        <v>0</v>
      </c>
      <c r="E22" s="14">
        <v>1</v>
      </c>
      <c r="F22" s="14">
        <v>0</v>
      </c>
      <c r="G22" s="26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1</v>
      </c>
      <c r="R22" s="14">
        <v>1</v>
      </c>
      <c r="S22" s="14">
        <v>1</v>
      </c>
      <c r="T22" s="14">
        <v>1</v>
      </c>
      <c r="U22" s="14">
        <v>0</v>
      </c>
      <c r="V22" s="14">
        <v>0</v>
      </c>
      <c r="W22" s="14">
        <v>0</v>
      </c>
      <c r="X22" s="14">
        <v>0</v>
      </c>
      <c r="Y22" s="3">
        <v>1</v>
      </c>
      <c r="Z22" s="3">
        <v>2</v>
      </c>
      <c r="AA22" s="31"/>
      <c r="AB22" s="31"/>
      <c r="AC22" s="31"/>
      <c r="AD22" s="30">
        <v>2</v>
      </c>
      <c r="AE22" s="31">
        <v>1</v>
      </c>
      <c r="AF22" s="31"/>
    </row>
    <row r="23" spans="1:32" ht="15.5" x14ac:dyDescent="0.35">
      <c r="A23" s="2" t="s">
        <v>38</v>
      </c>
      <c r="B23" s="29" t="s">
        <v>39</v>
      </c>
      <c r="C23" s="14">
        <v>0</v>
      </c>
      <c r="D23" s="14">
        <v>0</v>
      </c>
      <c r="E23" s="14">
        <v>0</v>
      </c>
      <c r="F23" s="14">
        <v>0</v>
      </c>
      <c r="G23" s="26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1</v>
      </c>
      <c r="U23" s="14">
        <v>0</v>
      </c>
      <c r="V23" s="14">
        <v>0</v>
      </c>
      <c r="W23" s="14">
        <v>0</v>
      </c>
      <c r="X23" s="14">
        <v>0</v>
      </c>
      <c r="Y23" s="3">
        <v>0</v>
      </c>
      <c r="Z23" s="3">
        <v>1</v>
      </c>
      <c r="AA23" s="31"/>
      <c r="AB23" s="31"/>
      <c r="AC23" s="31"/>
      <c r="AD23" s="30">
        <v>0</v>
      </c>
      <c r="AE23" s="31">
        <v>4</v>
      </c>
      <c r="AF23" s="31"/>
    </row>
    <row r="24" spans="1:32" ht="15.5" x14ac:dyDescent="0.35">
      <c r="A24" s="2" t="s">
        <v>40</v>
      </c>
      <c r="B24" s="29" t="s">
        <v>41</v>
      </c>
      <c r="C24" s="14">
        <v>0</v>
      </c>
      <c r="D24" s="14">
        <v>0</v>
      </c>
      <c r="E24" s="14">
        <v>0</v>
      </c>
      <c r="F24" s="14">
        <v>0</v>
      </c>
      <c r="G24" s="26">
        <v>2</v>
      </c>
      <c r="H24" s="14">
        <v>2</v>
      </c>
      <c r="I24" s="14">
        <v>2</v>
      </c>
      <c r="J24" s="14">
        <v>2</v>
      </c>
      <c r="K24" s="14">
        <v>0</v>
      </c>
      <c r="L24" s="14">
        <v>1</v>
      </c>
      <c r="M24" s="14">
        <v>1</v>
      </c>
      <c r="N24" s="14">
        <v>1</v>
      </c>
      <c r="O24" s="14">
        <v>2</v>
      </c>
      <c r="P24" s="14">
        <v>2</v>
      </c>
      <c r="Q24" s="14">
        <v>1</v>
      </c>
      <c r="R24" s="14">
        <v>0</v>
      </c>
      <c r="S24" s="14">
        <v>1</v>
      </c>
      <c r="T24" s="14">
        <v>1</v>
      </c>
      <c r="U24" s="14">
        <v>0</v>
      </c>
      <c r="V24" s="14">
        <v>0</v>
      </c>
      <c r="W24" s="14">
        <v>0</v>
      </c>
      <c r="X24" s="14">
        <v>0</v>
      </c>
      <c r="Y24" s="3">
        <v>1</v>
      </c>
      <c r="Z24" s="3">
        <v>1</v>
      </c>
      <c r="AA24" s="30"/>
      <c r="AB24" s="30"/>
      <c r="AC24" s="30"/>
      <c r="AD24" s="30">
        <v>3</v>
      </c>
      <c r="AE24" s="31">
        <v>2</v>
      </c>
      <c r="AF24" s="30"/>
    </row>
    <row r="25" spans="1:32" ht="15.5" hidden="1" x14ac:dyDescent="0.35">
      <c r="A25" s="2" t="s">
        <v>42</v>
      </c>
      <c r="B25" s="29" t="s">
        <v>43</v>
      </c>
      <c r="C25" s="14">
        <v>0</v>
      </c>
      <c r="D25" s="14">
        <v>1</v>
      </c>
      <c r="E25" s="14">
        <v>0</v>
      </c>
      <c r="F25" s="14">
        <v>0</v>
      </c>
      <c r="G25" s="26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3">
        <v>0</v>
      </c>
      <c r="Z25" s="3"/>
      <c r="AA25" s="31"/>
      <c r="AB25" s="31"/>
      <c r="AC25" s="31"/>
      <c r="AD25" s="30">
        <v>4</v>
      </c>
      <c r="AE25" s="31">
        <v>0</v>
      </c>
      <c r="AF25" s="31"/>
    </row>
    <row r="26" spans="1:32" ht="15.5" hidden="1" x14ac:dyDescent="0.35">
      <c r="A26" s="2" t="s">
        <v>44</v>
      </c>
      <c r="B26" s="29" t="s">
        <v>45</v>
      </c>
      <c r="C26" s="14">
        <v>0</v>
      </c>
      <c r="D26" s="14">
        <v>0</v>
      </c>
      <c r="E26" s="14">
        <v>0</v>
      </c>
      <c r="F26" s="14">
        <v>0</v>
      </c>
      <c r="G26" s="26">
        <v>0</v>
      </c>
      <c r="H26" s="14">
        <v>1</v>
      </c>
      <c r="I26" s="14">
        <v>1</v>
      </c>
      <c r="J26" s="14">
        <v>1</v>
      </c>
      <c r="K26" s="14">
        <v>1</v>
      </c>
      <c r="L26" s="14">
        <v>1</v>
      </c>
      <c r="M26" s="14">
        <v>1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3">
        <v>0</v>
      </c>
      <c r="Z26" s="3"/>
      <c r="AA26" s="30"/>
      <c r="AB26" s="30"/>
      <c r="AC26" s="30"/>
      <c r="AD26" s="30">
        <v>1</v>
      </c>
      <c r="AE26" s="31">
        <v>0</v>
      </c>
      <c r="AF26" s="30"/>
    </row>
    <row r="27" spans="1:32" ht="15.5" hidden="1" x14ac:dyDescent="0.35">
      <c r="A27" s="2" t="s">
        <v>46</v>
      </c>
      <c r="B27" s="29" t="s">
        <v>47</v>
      </c>
      <c r="C27" s="14">
        <v>0</v>
      </c>
      <c r="D27" s="14">
        <v>0</v>
      </c>
      <c r="E27" s="14">
        <v>0</v>
      </c>
      <c r="F27" s="14">
        <v>0</v>
      </c>
      <c r="G27" s="26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3">
        <v>0</v>
      </c>
      <c r="Z27" s="3"/>
      <c r="AA27" s="31"/>
      <c r="AB27" s="31"/>
      <c r="AC27" s="31"/>
      <c r="AD27" s="30">
        <v>0</v>
      </c>
      <c r="AE27" s="31">
        <v>0</v>
      </c>
      <c r="AF27" s="31"/>
    </row>
    <row r="28" spans="1:32" ht="15.5" hidden="1" x14ac:dyDescent="0.35">
      <c r="A28" s="2" t="s">
        <v>48</v>
      </c>
      <c r="B28" s="29" t="s">
        <v>49</v>
      </c>
      <c r="C28" s="14">
        <v>1</v>
      </c>
      <c r="D28" s="14">
        <v>1</v>
      </c>
      <c r="E28" s="14">
        <v>1</v>
      </c>
      <c r="F28" s="14">
        <v>1</v>
      </c>
      <c r="G28" s="26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3">
        <v>0</v>
      </c>
      <c r="Z28" s="3"/>
      <c r="AA28" s="31"/>
      <c r="AB28" s="31"/>
      <c r="AC28" s="31"/>
      <c r="AD28" s="30">
        <v>0</v>
      </c>
      <c r="AE28" s="31">
        <v>0</v>
      </c>
      <c r="AF28" s="31"/>
    </row>
    <row r="29" spans="1:32" ht="15.5" hidden="1" x14ac:dyDescent="0.35">
      <c r="A29" s="2" t="s">
        <v>50</v>
      </c>
      <c r="B29" s="29" t="s">
        <v>51</v>
      </c>
      <c r="C29" s="14">
        <v>0</v>
      </c>
      <c r="D29" s="14">
        <v>0</v>
      </c>
      <c r="E29" s="14">
        <v>0</v>
      </c>
      <c r="F29" s="14">
        <v>0</v>
      </c>
      <c r="G29" s="26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3">
        <v>0</v>
      </c>
      <c r="Z29" s="3"/>
      <c r="AA29" s="31"/>
      <c r="AB29" s="31"/>
      <c r="AC29" s="31"/>
      <c r="AD29" s="30">
        <v>0</v>
      </c>
      <c r="AE29" s="31">
        <v>0</v>
      </c>
      <c r="AF29" s="31"/>
    </row>
    <row r="30" spans="1:32" ht="15.5" x14ac:dyDescent="0.35">
      <c r="A30" s="2" t="s">
        <v>52</v>
      </c>
      <c r="B30" s="29" t="s">
        <v>53</v>
      </c>
      <c r="C30" s="14">
        <v>1</v>
      </c>
      <c r="D30" s="14">
        <v>2</v>
      </c>
      <c r="E30" s="14">
        <v>3</v>
      </c>
      <c r="F30" s="14">
        <v>4</v>
      </c>
      <c r="G30" s="26">
        <v>2</v>
      </c>
      <c r="H30" s="14">
        <v>1</v>
      </c>
      <c r="I30" s="14">
        <v>1</v>
      </c>
      <c r="J30" s="14">
        <v>0</v>
      </c>
      <c r="K30" s="14">
        <v>1</v>
      </c>
      <c r="L30" s="14">
        <v>2</v>
      </c>
      <c r="M30" s="14">
        <v>4</v>
      </c>
      <c r="N30" s="14">
        <v>3</v>
      </c>
      <c r="O30" s="14">
        <v>3</v>
      </c>
      <c r="P30" s="14">
        <v>4</v>
      </c>
      <c r="Q30" s="14">
        <v>3</v>
      </c>
      <c r="R30" s="14">
        <v>3</v>
      </c>
      <c r="S30" s="14">
        <v>2</v>
      </c>
      <c r="T30" s="14">
        <v>3</v>
      </c>
      <c r="U30" s="14">
        <v>0</v>
      </c>
      <c r="V30" s="14">
        <v>0</v>
      </c>
      <c r="W30" s="14">
        <v>0</v>
      </c>
      <c r="X30" s="14">
        <v>0</v>
      </c>
      <c r="Y30" s="3">
        <v>1</v>
      </c>
      <c r="Z30" s="3" t="s">
        <v>220</v>
      </c>
      <c r="AA30" s="31"/>
      <c r="AB30" s="31"/>
      <c r="AC30" s="31"/>
      <c r="AD30" s="30">
        <v>5</v>
      </c>
      <c r="AE30" s="31">
        <v>3</v>
      </c>
      <c r="AF30" s="31"/>
    </row>
    <row r="31" spans="1:32" ht="15.5" x14ac:dyDescent="0.35">
      <c r="A31" s="2" t="s">
        <v>96</v>
      </c>
      <c r="B31" s="29" t="s">
        <v>97</v>
      </c>
      <c r="C31" s="14">
        <v>1</v>
      </c>
      <c r="D31" s="14">
        <v>1</v>
      </c>
      <c r="E31" s="14">
        <v>0</v>
      </c>
      <c r="F31" s="14">
        <v>0</v>
      </c>
      <c r="G31" s="26">
        <v>0</v>
      </c>
      <c r="H31" s="14">
        <v>1</v>
      </c>
      <c r="I31" s="14">
        <v>1</v>
      </c>
      <c r="J31" s="14">
        <v>1</v>
      </c>
      <c r="K31" s="14">
        <v>1</v>
      </c>
      <c r="L31" s="14">
        <v>1</v>
      </c>
      <c r="M31" s="14">
        <v>1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  <c r="T31" s="14">
        <v>1</v>
      </c>
      <c r="U31" s="14">
        <v>0</v>
      </c>
      <c r="V31" s="14">
        <v>0</v>
      </c>
      <c r="W31" s="14">
        <v>0</v>
      </c>
      <c r="X31" s="14">
        <v>0</v>
      </c>
      <c r="Y31" s="3">
        <v>0</v>
      </c>
      <c r="Z31" s="3">
        <v>2</v>
      </c>
      <c r="AA31" s="30"/>
      <c r="AB31" s="30"/>
      <c r="AC31" s="30"/>
      <c r="AD31" s="30">
        <v>4</v>
      </c>
      <c r="AE31" s="31">
        <v>0</v>
      </c>
      <c r="AF31" s="30"/>
    </row>
    <row r="32" spans="1:32" ht="15.5" hidden="1" x14ac:dyDescent="0.35">
      <c r="A32" s="2" t="s">
        <v>54</v>
      </c>
      <c r="B32" s="29" t="s">
        <v>55</v>
      </c>
      <c r="C32" s="14">
        <v>0</v>
      </c>
      <c r="D32" s="14">
        <v>0</v>
      </c>
      <c r="E32" s="14">
        <v>0</v>
      </c>
      <c r="F32" s="14">
        <v>0</v>
      </c>
      <c r="G32" s="26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3">
        <v>0</v>
      </c>
      <c r="Z32" s="3"/>
      <c r="AA32" s="31"/>
      <c r="AB32" s="31"/>
      <c r="AC32" s="31"/>
      <c r="AD32" s="30">
        <v>0</v>
      </c>
      <c r="AE32" s="31">
        <v>0</v>
      </c>
      <c r="AF32" s="31"/>
    </row>
    <row r="33" spans="1:32" ht="15.5" hidden="1" x14ac:dyDescent="0.35">
      <c r="A33" s="2" t="s">
        <v>56</v>
      </c>
      <c r="B33" s="29" t="s">
        <v>57</v>
      </c>
      <c r="C33" s="14">
        <v>0</v>
      </c>
      <c r="D33" s="14">
        <v>0</v>
      </c>
      <c r="E33" s="14">
        <v>0</v>
      </c>
      <c r="F33" s="14">
        <v>0</v>
      </c>
      <c r="G33" s="26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3">
        <v>0</v>
      </c>
      <c r="Z33" s="3"/>
      <c r="AA33" s="31"/>
      <c r="AB33" s="31"/>
      <c r="AC33" s="31"/>
      <c r="AD33" s="30">
        <v>0</v>
      </c>
      <c r="AE33" s="31">
        <v>0</v>
      </c>
      <c r="AF33" s="31"/>
    </row>
    <row r="34" spans="1:32" ht="15.5" hidden="1" x14ac:dyDescent="0.35">
      <c r="A34" s="2" t="s">
        <v>58</v>
      </c>
      <c r="B34" s="29" t="s">
        <v>59</v>
      </c>
      <c r="C34" s="14">
        <v>4</v>
      </c>
      <c r="D34" s="14">
        <v>3</v>
      </c>
      <c r="E34" s="14">
        <v>0</v>
      </c>
      <c r="F34" s="14">
        <v>0</v>
      </c>
      <c r="G34" s="26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3">
        <v>0</v>
      </c>
      <c r="Z34" s="3"/>
      <c r="AA34" s="31"/>
      <c r="AB34" s="31"/>
      <c r="AC34" s="31"/>
      <c r="AD34" s="30">
        <v>2</v>
      </c>
      <c r="AE34" s="31">
        <v>0</v>
      </c>
      <c r="AF34" s="31"/>
    </row>
    <row r="35" spans="1:32" ht="15.5" x14ac:dyDescent="0.35">
      <c r="A35" s="4"/>
      <c r="B35" s="4" t="s">
        <v>60</v>
      </c>
      <c r="C35" s="4">
        <f>SUM(C19:C34)</f>
        <v>8</v>
      </c>
      <c r="D35" s="4">
        <f t="shared" ref="D35:Y35" si="1">SUM(D19:D34)</f>
        <v>11</v>
      </c>
      <c r="E35" s="4">
        <f t="shared" si="1"/>
        <v>7</v>
      </c>
      <c r="F35" s="4">
        <f t="shared" si="1"/>
        <v>8</v>
      </c>
      <c r="G35" s="4">
        <f t="shared" si="1"/>
        <v>6</v>
      </c>
      <c r="H35" s="4">
        <f t="shared" si="1"/>
        <v>6</v>
      </c>
      <c r="I35" s="4">
        <f t="shared" si="1"/>
        <v>6</v>
      </c>
      <c r="J35" s="4">
        <f t="shared" si="1"/>
        <v>5</v>
      </c>
      <c r="K35" s="4">
        <f t="shared" si="1"/>
        <v>3</v>
      </c>
      <c r="L35" s="4">
        <f t="shared" si="1"/>
        <v>5</v>
      </c>
      <c r="M35" s="4">
        <f t="shared" si="1"/>
        <v>8</v>
      </c>
      <c r="N35" s="4">
        <f t="shared" si="1"/>
        <v>7</v>
      </c>
      <c r="O35" s="4">
        <f t="shared" si="1"/>
        <v>7</v>
      </c>
      <c r="P35" s="4">
        <f t="shared" si="1"/>
        <v>7</v>
      </c>
      <c r="Q35" s="4">
        <f t="shared" si="1"/>
        <v>6</v>
      </c>
      <c r="R35" s="4">
        <f t="shared" si="1"/>
        <v>4</v>
      </c>
      <c r="S35" s="4">
        <f t="shared" si="1"/>
        <v>6</v>
      </c>
      <c r="T35" s="4">
        <f t="shared" si="1"/>
        <v>8</v>
      </c>
      <c r="U35" s="4">
        <f t="shared" si="1"/>
        <v>0</v>
      </c>
      <c r="V35" s="4">
        <f t="shared" si="1"/>
        <v>0</v>
      </c>
      <c r="W35" s="4">
        <f t="shared" si="1"/>
        <v>0</v>
      </c>
      <c r="X35" s="4">
        <f t="shared" si="1"/>
        <v>0</v>
      </c>
      <c r="Y35" s="4">
        <f t="shared" si="1"/>
        <v>3</v>
      </c>
      <c r="Z35" s="3"/>
      <c r="AA35" s="30"/>
      <c r="AB35" s="30"/>
      <c r="AC35" s="30"/>
      <c r="AD35" s="30"/>
      <c r="AE35" s="31"/>
      <c r="AF35" s="30"/>
    </row>
    <row r="36" spans="1:32" ht="15.5" x14ac:dyDescent="0.35">
      <c r="A36" s="2" t="s">
        <v>61</v>
      </c>
      <c r="B36" s="29" t="s">
        <v>62</v>
      </c>
      <c r="C36" s="14">
        <v>0</v>
      </c>
      <c r="D36" s="14">
        <v>0</v>
      </c>
      <c r="E36" s="14">
        <v>1</v>
      </c>
      <c r="F36" s="14">
        <v>0</v>
      </c>
      <c r="G36" s="26">
        <v>1</v>
      </c>
      <c r="H36" s="14">
        <v>0</v>
      </c>
      <c r="I36" s="14">
        <v>0</v>
      </c>
      <c r="J36" s="14">
        <v>0</v>
      </c>
      <c r="K36" s="14">
        <v>0</v>
      </c>
      <c r="L36" s="14">
        <v>2</v>
      </c>
      <c r="M36" s="14">
        <v>1</v>
      </c>
      <c r="N36" s="14">
        <v>1</v>
      </c>
      <c r="O36" s="14">
        <v>2</v>
      </c>
      <c r="P36" s="14">
        <v>0</v>
      </c>
      <c r="Q36" s="14">
        <v>2</v>
      </c>
      <c r="R36" s="14">
        <v>2</v>
      </c>
      <c r="S36" s="14">
        <v>2</v>
      </c>
      <c r="T36" s="14">
        <v>2</v>
      </c>
      <c r="U36" s="14">
        <v>0</v>
      </c>
      <c r="V36" s="14">
        <v>0</v>
      </c>
      <c r="W36" s="14">
        <v>0</v>
      </c>
      <c r="X36" s="14">
        <v>0</v>
      </c>
      <c r="Y36" s="3">
        <v>2</v>
      </c>
      <c r="Z36" s="3">
        <v>4</v>
      </c>
      <c r="AA36" s="30"/>
      <c r="AB36" s="30"/>
      <c r="AC36" s="30"/>
      <c r="AD36" s="30">
        <v>9</v>
      </c>
      <c r="AE36" s="31">
        <v>8</v>
      </c>
      <c r="AF36" s="30"/>
    </row>
    <row r="37" spans="1:32" ht="15.5" hidden="1" x14ac:dyDescent="0.35">
      <c r="A37" s="2" t="s">
        <v>63</v>
      </c>
      <c r="B37" s="29" t="s">
        <v>64</v>
      </c>
      <c r="C37" s="14">
        <v>0</v>
      </c>
      <c r="D37" s="14">
        <v>0</v>
      </c>
      <c r="E37" s="14">
        <v>1</v>
      </c>
      <c r="F37" s="14">
        <v>1</v>
      </c>
      <c r="G37" s="26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1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3">
        <v>0</v>
      </c>
      <c r="Z37" s="3"/>
      <c r="AA37" s="31"/>
      <c r="AB37" s="31"/>
      <c r="AC37" s="31"/>
      <c r="AD37" s="30">
        <v>0</v>
      </c>
      <c r="AE37" s="31">
        <v>0</v>
      </c>
      <c r="AF37" s="31"/>
    </row>
    <row r="38" spans="1:32" ht="15.5" hidden="1" x14ac:dyDescent="0.35">
      <c r="A38" s="2" t="s">
        <v>65</v>
      </c>
      <c r="B38" s="29" t="s">
        <v>66</v>
      </c>
      <c r="C38" s="14">
        <v>0</v>
      </c>
      <c r="D38" s="14">
        <v>0</v>
      </c>
      <c r="E38" s="14">
        <v>0</v>
      </c>
      <c r="F38" s="14">
        <v>0</v>
      </c>
      <c r="G38" s="26">
        <v>1</v>
      </c>
      <c r="H38" s="14">
        <v>1</v>
      </c>
      <c r="I38" s="14">
        <v>1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3">
        <v>0</v>
      </c>
      <c r="Z38" s="3"/>
      <c r="AA38" s="31"/>
      <c r="AB38" s="31"/>
      <c r="AC38" s="31"/>
      <c r="AD38" s="30">
        <v>0</v>
      </c>
      <c r="AE38" s="31">
        <v>0</v>
      </c>
      <c r="AF38" s="31"/>
    </row>
    <row r="39" spans="1:32" ht="15.5" hidden="1" x14ac:dyDescent="0.35">
      <c r="A39" s="2" t="s">
        <v>67</v>
      </c>
      <c r="B39" s="29" t="s">
        <v>68</v>
      </c>
      <c r="C39" s="14">
        <v>0</v>
      </c>
      <c r="D39" s="14">
        <v>0</v>
      </c>
      <c r="E39" s="14">
        <v>0</v>
      </c>
      <c r="F39" s="14">
        <v>0</v>
      </c>
      <c r="G39" s="26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3">
        <v>0</v>
      </c>
      <c r="Z39" s="3"/>
      <c r="AA39" s="31"/>
      <c r="AB39" s="31"/>
      <c r="AC39" s="31"/>
      <c r="AD39" s="30">
        <v>0</v>
      </c>
      <c r="AE39" s="31">
        <v>0</v>
      </c>
      <c r="AF39" s="31"/>
    </row>
    <row r="40" spans="1:32" ht="15.5" hidden="1" x14ac:dyDescent="0.35">
      <c r="A40" s="2" t="s">
        <v>69</v>
      </c>
      <c r="B40" s="29" t="s">
        <v>70</v>
      </c>
      <c r="C40" s="14">
        <v>0</v>
      </c>
      <c r="D40" s="14">
        <v>0</v>
      </c>
      <c r="E40" s="14">
        <v>0</v>
      </c>
      <c r="F40" s="14">
        <v>1</v>
      </c>
      <c r="G40" s="26">
        <v>0</v>
      </c>
      <c r="H40" s="14">
        <v>0</v>
      </c>
      <c r="I40" s="14">
        <v>0</v>
      </c>
      <c r="J40" s="14">
        <v>1</v>
      </c>
      <c r="K40" s="14">
        <v>0</v>
      </c>
      <c r="L40" s="14">
        <v>0</v>
      </c>
      <c r="M40" s="14">
        <v>0</v>
      </c>
      <c r="N40" s="14">
        <v>1</v>
      </c>
      <c r="O40" s="14">
        <v>1</v>
      </c>
      <c r="P40" s="14">
        <v>0</v>
      </c>
      <c r="Q40" s="14">
        <v>1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3">
        <v>0</v>
      </c>
      <c r="Z40" s="3"/>
      <c r="AA40" s="31"/>
      <c r="AB40" s="31"/>
      <c r="AC40" s="31"/>
      <c r="AD40" s="30">
        <v>1</v>
      </c>
      <c r="AE40" s="31">
        <v>0</v>
      </c>
      <c r="AF40" s="31"/>
    </row>
    <row r="41" spans="1:32" ht="15.5" hidden="1" x14ac:dyDescent="0.35">
      <c r="A41" s="2" t="s">
        <v>71</v>
      </c>
      <c r="B41" s="29" t="s">
        <v>72</v>
      </c>
      <c r="C41" s="14">
        <v>0</v>
      </c>
      <c r="D41" s="14">
        <v>0</v>
      </c>
      <c r="E41" s="14">
        <v>0</v>
      </c>
      <c r="F41" s="14">
        <v>1</v>
      </c>
      <c r="G41" s="26">
        <v>0</v>
      </c>
      <c r="H41" s="14">
        <v>1</v>
      </c>
      <c r="I41" s="14">
        <v>1</v>
      </c>
      <c r="J41" s="14">
        <v>0</v>
      </c>
      <c r="K41" s="14">
        <v>0</v>
      </c>
      <c r="L41" s="14">
        <v>1</v>
      </c>
      <c r="M41" s="14">
        <v>0</v>
      </c>
      <c r="N41" s="14">
        <v>0</v>
      </c>
      <c r="O41" s="14">
        <v>0</v>
      </c>
      <c r="P41" s="14">
        <v>0</v>
      </c>
      <c r="Q41" s="14">
        <v>1</v>
      </c>
      <c r="R41" s="14">
        <v>1</v>
      </c>
      <c r="S41" s="14">
        <v>1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3">
        <v>0</v>
      </c>
      <c r="Z41" s="3"/>
      <c r="AA41" s="31"/>
      <c r="AB41" s="31"/>
      <c r="AC41" s="31"/>
      <c r="AD41" s="30">
        <v>1</v>
      </c>
      <c r="AE41" s="31">
        <v>0</v>
      </c>
      <c r="AF41" s="31"/>
    </row>
    <row r="42" spans="1:32" ht="15.5" hidden="1" x14ac:dyDescent="0.35">
      <c r="A42" s="2" t="s">
        <v>73</v>
      </c>
      <c r="B42" s="29" t="s">
        <v>74</v>
      </c>
      <c r="C42" s="14">
        <v>0</v>
      </c>
      <c r="D42" s="14">
        <v>0</v>
      </c>
      <c r="E42" s="14">
        <v>0</v>
      </c>
      <c r="F42" s="14">
        <v>0</v>
      </c>
      <c r="G42" s="26">
        <v>0</v>
      </c>
      <c r="H42" s="14">
        <v>0</v>
      </c>
      <c r="I42" s="14">
        <v>0</v>
      </c>
      <c r="J42" s="14">
        <v>0</v>
      </c>
      <c r="K42" s="14">
        <v>0</v>
      </c>
      <c r="L42" s="14">
        <v>1</v>
      </c>
      <c r="M42" s="14">
        <v>0</v>
      </c>
      <c r="N42" s="14">
        <v>0</v>
      </c>
      <c r="O42" s="14">
        <v>0</v>
      </c>
      <c r="P42" s="14">
        <v>0</v>
      </c>
      <c r="Q42" s="14">
        <v>1</v>
      </c>
      <c r="R42" s="14">
        <v>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3">
        <v>0</v>
      </c>
      <c r="Z42" s="3"/>
      <c r="AA42" s="31"/>
      <c r="AB42" s="31"/>
      <c r="AC42" s="31"/>
      <c r="AD42" s="30">
        <v>1</v>
      </c>
      <c r="AE42" s="31">
        <v>0</v>
      </c>
      <c r="AF42" s="31"/>
    </row>
    <row r="43" spans="1:32" ht="15.5" hidden="1" x14ac:dyDescent="0.35">
      <c r="A43" s="2" t="s">
        <v>75</v>
      </c>
      <c r="B43" s="29" t="s">
        <v>76</v>
      </c>
      <c r="C43" s="14">
        <v>0</v>
      </c>
      <c r="D43" s="14">
        <v>0</v>
      </c>
      <c r="E43" s="14">
        <v>0</v>
      </c>
      <c r="F43" s="14">
        <v>0</v>
      </c>
      <c r="G43" s="26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3">
        <v>0</v>
      </c>
      <c r="Z43" s="3"/>
      <c r="AA43" s="31"/>
      <c r="AB43" s="31"/>
      <c r="AC43" s="31"/>
      <c r="AD43" s="30">
        <v>0</v>
      </c>
      <c r="AE43" s="31">
        <v>0</v>
      </c>
      <c r="AF43" s="31"/>
    </row>
    <row r="44" spans="1:32" ht="15.5" hidden="1" x14ac:dyDescent="0.35">
      <c r="A44" s="2" t="s">
        <v>77</v>
      </c>
      <c r="B44" s="29" t="s">
        <v>68</v>
      </c>
      <c r="C44" s="14">
        <v>4</v>
      </c>
      <c r="D44" s="14">
        <v>2</v>
      </c>
      <c r="E44" s="14">
        <v>2</v>
      </c>
      <c r="F44" s="14">
        <v>2</v>
      </c>
      <c r="G44" s="26">
        <v>2</v>
      </c>
      <c r="H44" s="14">
        <v>1</v>
      </c>
      <c r="I44" s="14">
        <v>1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3">
        <v>0</v>
      </c>
      <c r="Z44" s="3"/>
      <c r="AA44" s="31"/>
      <c r="AB44" s="31"/>
      <c r="AC44" s="31"/>
      <c r="AD44" s="30">
        <v>0</v>
      </c>
      <c r="AE44" s="31">
        <v>0</v>
      </c>
      <c r="AF44" s="31"/>
    </row>
    <row r="45" spans="1:32" ht="15.5" hidden="1" x14ac:dyDescent="0.35">
      <c r="A45" s="2" t="s">
        <v>78</v>
      </c>
      <c r="B45" s="29" t="s">
        <v>79</v>
      </c>
      <c r="C45" s="14">
        <v>0</v>
      </c>
      <c r="D45" s="14">
        <v>0</v>
      </c>
      <c r="E45" s="14">
        <v>0</v>
      </c>
      <c r="F45" s="14">
        <v>0</v>
      </c>
      <c r="G45" s="26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3">
        <v>0</v>
      </c>
      <c r="Z45" s="3"/>
      <c r="AA45" s="31"/>
      <c r="AB45" s="31"/>
      <c r="AC45" s="31"/>
      <c r="AD45" s="30">
        <v>0</v>
      </c>
      <c r="AE45" s="31">
        <v>0</v>
      </c>
      <c r="AF45" s="31"/>
    </row>
    <row r="46" spans="1:32" ht="15.5" hidden="1" x14ac:dyDescent="0.35">
      <c r="A46" s="2" t="s">
        <v>80</v>
      </c>
      <c r="B46" s="29" t="s">
        <v>81</v>
      </c>
      <c r="C46" s="14">
        <v>0</v>
      </c>
      <c r="D46" s="14">
        <v>0</v>
      </c>
      <c r="E46" s="14">
        <v>0</v>
      </c>
      <c r="F46" s="14">
        <v>0</v>
      </c>
      <c r="G46" s="26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3">
        <v>0</v>
      </c>
      <c r="Z46" s="3"/>
      <c r="AA46" s="31"/>
      <c r="AB46" s="31"/>
      <c r="AC46" s="31"/>
      <c r="AD46" s="30">
        <v>0</v>
      </c>
      <c r="AE46" s="31">
        <v>0</v>
      </c>
      <c r="AF46" s="31"/>
    </row>
    <row r="47" spans="1:32" ht="15.5" hidden="1" x14ac:dyDescent="0.35">
      <c r="A47" s="2" t="s">
        <v>82</v>
      </c>
      <c r="B47" s="29" t="s">
        <v>83</v>
      </c>
      <c r="C47" s="14">
        <v>0</v>
      </c>
      <c r="D47" s="14">
        <v>0</v>
      </c>
      <c r="E47" s="14">
        <v>0</v>
      </c>
      <c r="F47" s="14">
        <v>0</v>
      </c>
      <c r="G47" s="26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3">
        <v>0</v>
      </c>
      <c r="Z47" s="3"/>
      <c r="AA47" s="31"/>
      <c r="AB47" s="31"/>
      <c r="AC47" s="31"/>
      <c r="AD47" s="30">
        <v>0</v>
      </c>
      <c r="AE47" s="31">
        <v>0</v>
      </c>
      <c r="AF47" s="31"/>
    </row>
    <row r="48" spans="1:32" ht="15.5" hidden="1" x14ac:dyDescent="0.35">
      <c r="A48" s="2" t="s">
        <v>84</v>
      </c>
      <c r="B48" s="29" t="s">
        <v>85</v>
      </c>
      <c r="C48" s="14">
        <v>4</v>
      </c>
      <c r="D48" s="14">
        <v>4</v>
      </c>
      <c r="E48" s="14">
        <v>0</v>
      </c>
      <c r="F48" s="14">
        <v>0</v>
      </c>
      <c r="G48" s="26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0</v>
      </c>
      <c r="Y48" s="3">
        <v>0</v>
      </c>
      <c r="Z48" s="3"/>
      <c r="AA48" s="31"/>
      <c r="AB48" s="31"/>
      <c r="AC48" s="31"/>
      <c r="AD48" s="30">
        <v>4</v>
      </c>
      <c r="AE48" s="31">
        <v>7</v>
      </c>
      <c r="AF48" s="31"/>
    </row>
    <row r="49" spans="1:32" ht="15.5" hidden="1" x14ac:dyDescent="0.35">
      <c r="A49" s="2" t="s">
        <v>86</v>
      </c>
      <c r="B49" s="29" t="s">
        <v>87</v>
      </c>
      <c r="C49" s="14">
        <v>0</v>
      </c>
      <c r="D49" s="14">
        <v>0</v>
      </c>
      <c r="E49" s="14">
        <v>0</v>
      </c>
      <c r="F49" s="14">
        <v>0</v>
      </c>
      <c r="G49" s="26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3">
        <v>0</v>
      </c>
      <c r="Z49" s="3"/>
      <c r="AA49" s="31"/>
      <c r="AB49" s="31"/>
      <c r="AC49" s="31"/>
      <c r="AD49" s="30">
        <v>0</v>
      </c>
      <c r="AE49" s="31">
        <v>0</v>
      </c>
      <c r="AF49" s="31"/>
    </row>
    <row r="50" spans="1:32" ht="15.5" x14ac:dyDescent="0.35">
      <c r="A50" s="2" t="s">
        <v>88</v>
      </c>
      <c r="B50" s="29" t="s">
        <v>89</v>
      </c>
      <c r="C50" s="14">
        <v>0</v>
      </c>
      <c r="D50" s="14">
        <v>2</v>
      </c>
      <c r="E50" s="14">
        <v>1</v>
      </c>
      <c r="F50" s="14">
        <v>0</v>
      </c>
      <c r="G50" s="26">
        <v>2</v>
      </c>
      <c r="H50" s="14">
        <v>2</v>
      </c>
      <c r="I50" s="14">
        <v>2</v>
      </c>
      <c r="J50" s="14">
        <v>2</v>
      </c>
      <c r="K50" s="14">
        <v>1</v>
      </c>
      <c r="L50" s="14">
        <v>2</v>
      </c>
      <c r="M50" s="14">
        <v>1</v>
      </c>
      <c r="N50" s="14">
        <v>0</v>
      </c>
      <c r="O50" s="14">
        <v>3</v>
      </c>
      <c r="P50" s="14">
        <v>0</v>
      </c>
      <c r="Q50" s="14">
        <v>1</v>
      </c>
      <c r="R50" s="14">
        <v>0</v>
      </c>
      <c r="S50" s="14">
        <v>3</v>
      </c>
      <c r="T50" s="14">
        <v>1</v>
      </c>
      <c r="U50" s="14">
        <v>0</v>
      </c>
      <c r="V50" s="14">
        <v>0</v>
      </c>
      <c r="W50" s="14">
        <v>0</v>
      </c>
      <c r="X50" s="14">
        <v>0</v>
      </c>
      <c r="Y50" s="3">
        <v>1</v>
      </c>
      <c r="Z50" s="3">
        <v>3</v>
      </c>
      <c r="AA50" s="30"/>
      <c r="AB50" s="30"/>
      <c r="AC50" s="30"/>
      <c r="AD50" s="30">
        <v>11</v>
      </c>
      <c r="AE50" s="31">
        <v>3</v>
      </c>
      <c r="AF50" s="30"/>
    </row>
    <row r="51" spans="1:32" ht="15.5" x14ac:dyDescent="0.35">
      <c r="A51" s="2" t="s">
        <v>90</v>
      </c>
      <c r="B51" s="29" t="s">
        <v>91</v>
      </c>
      <c r="C51" s="14">
        <v>2</v>
      </c>
      <c r="D51" s="14">
        <v>1</v>
      </c>
      <c r="E51" s="14">
        <v>1</v>
      </c>
      <c r="F51" s="14">
        <v>3</v>
      </c>
      <c r="G51" s="26">
        <v>0</v>
      </c>
      <c r="H51" s="14">
        <v>1</v>
      </c>
      <c r="I51" s="14">
        <v>1</v>
      </c>
      <c r="J51" s="14">
        <v>1</v>
      </c>
      <c r="K51" s="14">
        <v>2</v>
      </c>
      <c r="L51" s="14">
        <v>0</v>
      </c>
      <c r="M51" s="14">
        <v>2</v>
      </c>
      <c r="N51" s="14">
        <v>1</v>
      </c>
      <c r="O51" s="14">
        <v>0</v>
      </c>
      <c r="P51" s="14">
        <v>3</v>
      </c>
      <c r="Q51" s="14">
        <v>1</v>
      </c>
      <c r="R51" s="14">
        <v>1</v>
      </c>
      <c r="S51" s="14">
        <v>1</v>
      </c>
      <c r="T51" s="14">
        <v>2</v>
      </c>
      <c r="U51" s="14">
        <v>0</v>
      </c>
      <c r="V51" s="14">
        <v>0</v>
      </c>
      <c r="W51" s="14">
        <v>0</v>
      </c>
      <c r="X51" s="14">
        <v>0</v>
      </c>
      <c r="Y51" s="3">
        <v>0</v>
      </c>
      <c r="Z51" s="3">
        <v>4</v>
      </c>
      <c r="AA51" s="31"/>
      <c r="AB51" s="31"/>
      <c r="AC51" s="31"/>
      <c r="AD51" s="30">
        <v>7</v>
      </c>
      <c r="AE51" s="31">
        <v>7</v>
      </c>
      <c r="AF51" s="31"/>
    </row>
    <row r="52" spans="1:32" ht="15.5" hidden="1" x14ac:dyDescent="0.35">
      <c r="A52" s="2" t="s">
        <v>92</v>
      </c>
      <c r="B52" s="29" t="s">
        <v>93</v>
      </c>
      <c r="C52" s="14">
        <v>0</v>
      </c>
      <c r="D52" s="14">
        <v>0</v>
      </c>
      <c r="E52" s="14">
        <v>0</v>
      </c>
      <c r="F52" s="14">
        <v>0</v>
      </c>
      <c r="G52" s="26">
        <v>0</v>
      </c>
      <c r="H52" s="14">
        <v>1</v>
      </c>
      <c r="I52" s="14">
        <v>1</v>
      </c>
      <c r="J52" s="14">
        <v>0</v>
      </c>
      <c r="K52" s="14">
        <v>0</v>
      </c>
      <c r="L52" s="14">
        <v>1</v>
      </c>
      <c r="M52" s="14">
        <v>1</v>
      </c>
      <c r="N52" s="14">
        <v>0</v>
      </c>
      <c r="O52" s="14">
        <v>1</v>
      </c>
      <c r="P52" s="14">
        <v>1</v>
      </c>
      <c r="Q52" s="14">
        <v>1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3">
        <v>0</v>
      </c>
      <c r="Z52" s="3"/>
      <c r="AA52" s="30"/>
      <c r="AB52" s="30"/>
      <c r="AC52" s="30"/>
      <c r="AD52" s="30">
        <v>1</v>
      </c>
      <c r="AE52" s="31">
        <v>0</v>
      </c>
      <c r="AF52" s="30"/>
    </row>
    <row r="53" spans="1:32" ht="15.5" hidden="1" x14ac:dyDescent="0.35">
      <c r="A53" s="2" t="s">
        <v>94</v>
      </c>
      <c r="B53" s="29" t="s">
        <v>95</v>
      </c>
      <c r="C53" s="14">
        <v>0</v>
      </c>
      <c r="D53" s="14">
        <v>0</v>
      </c>
      <c r="E53" s="14">
        <v>0</v>
      </c>
      <c r="F53" s="14">
        <v>0</v>
      </c>
      <c r="G53" s="26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3">
        <v>0</v>
      </c>
      <c r="Z53" s="3"/>
      <c r="AA53" s="31"/>
      <c r="AB53" s="31"/>
      <c r="AC53" s="31"/>
      <c r="AD53" s="30">
        <v>0</v>
      </c>
      <c r="AE53" s="31">
        <v>0</v>
      </c>
      <c r="AF53" s="31"/>
    </row>
    <row r="54" spans="1:32" ht="15.5" hidden="1" x14ac:dyDescent="0.35">
      <c r="A54" s="2" t="s">
        <v>98</v>
      </c>
      <c r="B54" s="29" t="s">
        <v>99</v>
      </c>
      <c r="C54" s="14">
        <v>0</v>
      </c>
      <c r="D54" s="14">
        <v>0</v>
      </c>
      <c r="E54" s="14">
        <v>0</v>
      </c>
      <c r="F54" s="14">
        <v>0</v>
      </c>
      <c r="G54" s="26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3">
        <v>0</v>
      </c>
      <c r="Z54" s="3"/>
      <c r="AA54" s="31"/>
      <c r="AB54" s="31"/>
      <c r="AC54" s="31"/>
      <c r="AD54" s="30">
        <v>0</v>
      </c>
      <c r="AE54" s="31">
        <v>0</v>
      </c>
      <c r="AF54" s="31"/>
    </row>
    <row r="55" spans="1:32" ht="15.5" x14ac:dyDescent="0.35">
      <c r="A55" s="2" t="s">
        <v>100</v>
      </c>
      <c r="B55" s="29" t="s">
        <v>101</v>
      </c>
      <c r="C55" s="14">
        <v>11</v>
      </c>
      <c r="D55" s="14">
        <v>10</v>
      </c>
      <c r="E55" s="14">
        <v>10</v>
      </c>
      <c r="F55" s="14">
        <v>9</v>
      </c>
      <c r="G55" s="26">
        <v>8</v>
      </c>
      <c r="H55" s="14">
        <v>8</v>
      </c>
      <c r="I55" s="14">
        <v>8</v>
      </c>
      <c r="J55" s="14">
        <v>8</v>
      </c>
      <c r="K55" s="14">
        <v>8</v>
      </c>
      <c r="L55" s="14">
        <v>7</v>
      </c>
      <c r="M55" s="14">
        <v>8</v>
      </c>
      <c r="N55" s="14">
        <v>8</v>
      </c>
      <c r="O55" s="14">
        <v>7</v>
      </c>
      <c r="P55" s="14">
        <v>7</v>
      </c>
      <c r="Q55" s="14">
        <v>6</v>
      </c>
      <c r="R55" s="14">
        <v>6</v>
      </c>
      <c r="S55" s="14">
        <v>5</v>
      </c>
      <c r="T55" s="14">
        <v>1</v>
      </c>
      <c r="U55" s="14">
        <v>0</v>
      </c>
      <c r="V55" s="14">
        <v>0</v>
      </c>
      <c r="W55" s="14">
        <v>0</v>
      </c>
      <c r="X55" s="14">
        <v>0</v>
      </c>
      <c r="Y55" s="3">
        <v>0</v>
      </c>
      <c r="Z55" s="3">
        <v>4</v>
      </c>
      <c r="AA55" s="31"/>
      <c r="AB55" s="31"/>
      <c r="AC55" s="31"/>
      <c r="AD55" s="30">
        <v>4</v>
      </c>
      <c r="AE55" s="31">
        <v>0</v>
      </c>
      <c r="AF55" s="31"/>
    </row>
    <row r="56" spans="1:32" ht="15.5" hidden="1" x14ac:dyDescent="0.35">
      <c r="A56" s="2" t="s">
        <v>102</v>
      </c>
      <c r="B56" s="29" t="s">
        <v>103</v>
      </c>
      <c r="C56" s="14">
        <v>3</v>
      </c>
      <c r="D56" s="14">
        <v>3</v>
      </c>
      <c r="E56" s="14">
        <v>3</v>
      </c>
      <c r="F56" s="14">
        <v>2</v>
      </c>
      <c r="G56" s="26">
        <v>1</v>
      </c>
      <c r="H56" s="14">
        <v>1</v>
      </c>
      <c r="I56" s="14">
        <v>1</v>
      </c>
      <c r="J56" s="14">
        <v>1</v>
      </c>
      <c r="K56" s="14">
        <v>1</v>
      </c>
      <c r="L56" s="14">
        <v>1</v>
      </c>
      <c r="M56" s="14">
        <v>1</v>
      </c>
      <c r="N56" s="14">
        <v>1</v>
      </c>
      <c r="O56" s="14">
        <v>0</v>
      </c>
      <c r="P56" s="14">
        <v>0</v>
      </c>
      <c r="Q56" s="14">
        <v>0</v>
      </c>
      <c r="R56" s="14">
        <v>0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14">
        <v>0</v>
      </c>
      <c r="Y56" s="3">
        <v>0</v>
      </c>
      <c r="Z56" s="3"/>
      <c r="AA56" s="31"/>
      <c r="AB56" s="31"/>
      <c r="AC56" s="31"/>
      <c r="AD56" s="30">
        <v>1</v>
      </c>
      <c r="AE56" s="31">
        <v>0</v>
      </c>
      <c r="AF56" s="31"/>
    </row>
    <row r="57" spans="1:32" ht="15.5" hidden="1" x14ac:dyDescent="0.35">
      <c r="A57" s="2" t="s">
        <v>104</v>
      </c>
      <c r="B57" s="29" t="s">
        <v>105</v>
      </c>
      <c r="C57" s="14">
        <v>9</v>
      </c>
      <c r="D57" s="14">
        <v>6</v>
      </c>
      <c r="E57" s="14">
        <v>6</v>
      </c>
      <c r="F57" s="14">
        <v>6</v>
      </c>
      <c r="G57" s="26">
        <v>6</v>
      </c>
      <c r="H57" s="14">
        <v>5</v>
      </c>
      <c r="I57" s="14">
        <v>5</v>
      </c>
      <c r="J57" s="14">
        <v>5</v>
      </c>
      <c r="K57" s="14">
        <v>4</v>
      </c>
      <c r="L57" s="14">
        <v>3</v>
      </c>
      <c r="M57" s="14">
        <v>2</v>
      </c>
      <c r="N57" s="14">
        <v>2</v>
      </c>
      <c r="O57" s="14">
        <v>2</v>
      </c>
      <c r="P57" s="14">
        <v>1</v>
      </c>
      <c r="Q57" s="14">
        <v>1</v>
      </c>
      <c r="R57" s="14">
        <v>1</v>
      </c>
      <c r="S57" s="14">
        <v>1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3">
        <v>0</v>
      </c>
      <c r="Z57" s="3"/>
      <c r="AA57" s="31"/>
      <c r="AB57" s="31"/>
      <c r="AC57" s="31"/>
      <c r="AD57" s="30">
        <v>2</v>
      </c>
      <c r="AE57" s="31">
        <v>0</v>
      </c>
      <c r="AF57" s="31"/>
    </row>
    <row r="58" spans="1:32" ht="15.5" hidden="1" x14ac:dyDescent="0.35">
      <c r="A58" s="2" t="s">
        <v>106</v>
      </c>
      <c r="B58" s="29" t="s">
        <v>107</v>
      </c>
      <c r="C58" s="14">
        <v>3</v>
      </c>
      <c r="D58" s="14">
        <v>0</v>
      </c>
      <c r="E58" s="14">
        <v>0</v>
      </c>
      <c r="F58" s="14">
        <v>0</v>
      </c>
      <c r="G58" s="26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3">
        <v>0</v>
      </c>
      <c r="Z58" s="3"/>
      <c r="AA58" s="31"/>
      <c r="AB58" s="31"/>
      <c r="AC58" s="31"/>
      <c r="AD58" s="30">
        <v>1</v>
      </c>
      <c r="AE58" s="31">
        <v>0</v>
      </c>
      <c r="AF58" s="31"/>
    </row>
    <row r="59" spans="1:32" ht="15.5" hidden="1" x14ac:dyDescent="0.35">
      <c r="A59" s="2" t="s">
        <v>108</v>
      </c>
      <c r="B59" s="29" t="s">
        <v>109</v>
      </c>
      <c r="C59" s="14">
        <v>0</v>
      </c>
      <c r="D59" s="14">
        <v>0</v>
      </c>
      <c r="E59" s="14">
        <v>0</v>
      </c>
      <c r="F59" s="14">
        <v>0</v>
      </c>
      <c r="G59" s="26">
        <v>0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3">
        <v>0</v>
      </c>
      <c r="Z59" s="3"/>
      <c r="AA59" s="31"/>
      <c r="AB59" s="31"/>
      <c r="AC59" s="31"/>
      <c r="AD59" s="30">
        <v>0</v>
      </c>
      <c r="AE59" s="31">
        <v>0</v>
      </c>
      <c r="AF59" s="31"/>
    </row>
    <row r="60" spans="1:32" ht="15.5" hidden="1" x14ac:dyDescent="0.35">
      <c r="A60" s="2" t="s">
        <v>110</v>
      </c>
      <c r="B60" s="29" t="s">
        <v>111</v>
      </c>
      <c r="C60" s="14">
        <v>0</v>
      </c>
      <c r="D60" s="14">
        <v>0</v>
      </c>
      <c r="E60" s="14">
        <v>0</v>
      </c>
      <c r="F60" s="14">
        <v>1</v>
      </c>
      <c r="G60" s="26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1</v>
      </c>
      <c r="P60" s="14">
        <v>1</v>
      </c>
      <c r="Q60" s="14">
        <v>0</v>
      </c>
      <c r="R60" s="14">
        <v>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3">
        <v>0</v>
      </c>
      <c r="Z60" s="3"/>
      <c r="AA60" s="30"/>
      <c r="AB60" s="30"/>
      <c r="AC60" s="30"/>
      <c r="AD60" s="30">
        <v>2</v>
      </c>
      <c r="AE60" s="31">
        <v>1</v>
      </c>
      <c r="AF60" s="30"/>
    </row>
    <row r="61" spans="1:32" ht="15.5" hidden="1" x14ac:dyDescent="0.35">
      <c r="A61" s="2" t="s">
        <v>112</v>
      </c>
      <c r="B61" s="29" t="s">
        <v>113</v>
      </c>
      <c r="C61" s="14">
        <v>0</v>
      </c>
      <c r="D61" s="14">
        <v>0</v>
      </c>
      <c r="E61" s="14">
        <v>0</v>
      </c>
      <c r="F61" s="14">
        <v>0</v>
      </c>
      <c r="G61" s="26">
        <v>0</v>
      </c>
      <c r="H61" s="14">
        <v>0</v>
      </c>
      <c r="I61" s="14">
        <v>0</v>
      </c>
      <c r="J61" s="14">
        <v>0</v>
      </c>
      <c r="K61" s="14">
        <v>1</v>
      </c>
      <c r="L61" s="14">
        <v>1</v>
      </c>
      <c r="M61" s="14">
        <v>1</v>
      </c>
      <c r="N61" s="14">
        <v>1</v>
      </c>
      <c r="O61" s="14">
        <v>0</v>
      </c>
      <c r="P61" s="14">
        <v>0</v>
      </c>
      <c r="Q61" s="14">
        <v>0</v>
      </c>
      <c r="R61" s="14">
        <v>1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3">
        <v>0</v>
      </c>
      <c r="Z61" s="3"/>
      <c r="AA61" s="30"/>
      <c r="AB61" s="30"/>
      <c r="AC61" s="30"/>
      <c r="AD61" s="30">
        <v>1</v>
      </c>
      <c r="AE61" s="31">
        <v>0</v>
      </c>
      <c r="AF61" s="30"/>
    </row>
    <row r="62" spans="1:32" ht="15.5" hidden="1" x14ac:dyDescent="0.35">
      <c r="A62" s="2" t="s">
        <v>193</v>
      </c>
      <c r="B62" s="29" t="s">
        <v>194</v>
      </c>
      <c r="C62" s="14">
        <v>6</v>
      </c>
      <c r="D62" s="14">
        <v>5</v>
      </c>
      <c r="E62" s="14">
        <v>5</v>
      </c>
      <c r="F62" s="14">
        <v>4</v>
      </c>
      <c r="G62" s="26">
        <v>3</v>
      </c>
      <c r="H62" s="14">
        <v>3</v>
      </c>
      <c r="I62" s="14">
        <v>3</v>
      </c>
      <c r="J62" s="14">
        <v>2</v>
      </c>
      <c r="K62" s="14">
        <v>2</v>
      </c>
      <c r="L62" s="14">
        <v>2</v>
      </c>
      <c r="M62" s="14">
        <v>3</v>
      </c>
      <c r="N62" s="14">
        <v>1</v>
      </c>
      <c r="O62" s="14">
        <v>1</v>
      </c>
      <c r="P62" s="14">
        <v>1</v>
      </c>
      <c r="Q62" s="14">
        <v>1</v>
      </c>
      <c r="R62" s="14">
        <v>1</v>
      </c>
      <c r="S62" s="14">
        <v>1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3">
        <v>0</v>
      </c>
      <c r="Z62" s="3"/>
      <c r="AA62" s="30"/>
      <c r="AB62" s="30"/>
      <c r="AC62" s="30"/>
      <c r="AD62" s="30">
        <v>1</v>
      </c>
      <c r="AE62" s="31">
        <v>1</v>
      </c>
      <c r="AF62" s="30"/>
    </row>
    <row r="63" spans="1:32" ht="15.5" hidden="1" x14ac:dyDescent="0.35">
      <c r="A63" s="2" t="s">
        <v>114</v>
      </c>
      <c r="B63" s="29" t="s">
        <v>115</v>
      </c>
      <c r="C63" s="14">
        <v>0</v>
      </c>
      <c r="D63" s="14">
        <v>0</v>
      </c>
      <c r="E63" s="14">
        <v>0</v>
      </c>
      <c r="F63" s="14">
        <v>0</v>
      </c>
      <c r="G63" s="26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3">
        <v>0</v>
      </c>
      <c r="Z63" s="3"/>
      <c r="AA63" s="31"/>
      <c r="AB63" s="31"/>
      <c r="AC63" s="31"/>
      <c r="AD63" s="30">
        <v>0</v>
      </c>
      <c r="AE63" s="31">
        <v>2</v>
      </c>
      <c r="AF63" s="31"/>
    </row>
    <row r="64" spans="1:32" ht="15.5" x14ac:dyDescent="0.35">
      <c r="A64" s="4"/>
      <c r="B64" s="4" t="s">
        <v>116</v>
      </c>
      <c r="C64" s="4">
        <f>SUM(C36:C63)</f>
        <v>42</v>
      </c>
      <c r="D64" s="4">
        <f t="shared" ref="D64:Z64" si="2">SUM(D36:D63)</f>
        <v>33</v>
      </c>
      <c r="E64" s="4">
        <f t="shared" si="2"/>
        <v>30</v>
      </c>
      <c r="F64" s="4">
        <f t="shared" si="2"/>
        <v>30</v>
      </c>
      <c r="G64" s="4">
        <f t="shared" si="2"/>
        <v>24</v>
      </c>
      <c r="H64" s="4">
        <f t="shared" si="2"/>
        <v>24</v>
      </c>
      <c r="I64" s="4">
        <f t="shared" si="2"/>
        <v>24</v>
      </c>
      <c r="J64" s="4">
        <f t="shared" si="2"/>
        <v>20</v>
      </c>
      <c r="K64" s="4">
        <f t="shared" si="2"/>
        <v>19</v>
      </c>
      <c r="L64" s="4">
        <f t="shared" si="2"/>
        <v>21</v>
      </c>
      <c r="M64" s="4">
        <f t="shared" si="2"/>
        <v>20</v>
      </c>
      <c r="N64" s="4">
        <f t="shared" si="2"/>
        <v>17</v>
      </c>
      <c r="O64" s="4">
        <f t="shared" si="2"/>
        <v>18</v>
      </c>
      <c r="P64" s="4">
        <f t="shared" si="2"/>
        <v>14</v>
      </c>
      <c r="Q64" s="4">
        <f t="shared" si="2"/>
        <v>16</v>
      </c>
      <c r="R64" s="4">
        <f t="shared" si="2"/>
        <v>13</v>
      </c>
      <c r="S64" s="4">
        <f t="shared" si="2"/>
        <v>14</v>
      </c>
      <c r="T64" s="4">
        <f t="shared" si="2"/>
        <v>6</v>
      </c>
      <c r="U64" s="4">
        <f t="shared" si="2"/>
        <v>0</v>
      </c>
      <c r="V64" s="4">
        <f t="shared" si="2"/>
        <v>0</v>
      </c>
      <c r="W64" s="4">
        <f t="shared" si="2"/>
        <v>0</v>
      </c>
      <c r="X64" s="4">
        <f t="shared" si="2"/>
        <v>0</v>
      </c>
      <c r="Y64" s="4">
        <f t="shared" si="2"/>
        <v>3</v>
      </c>
      <c r="Z64" s="4">
        <f t="shared" si="2"/>
        <v>15</v>
      </c>
      <c r="AA64" s="30"/>
      <c r="AB64" s="30"/>
      <c r="AC64" s="30"/>
      <c r="AD64" s="30"/>
      <c r="AE64" s="31"/>
      <c r="AF64" s="30"/>
    </row>
    <row r="65" spans="1:32" ht="15.5" hidden="1" x14ac:dyDescent="0.35">
      <c r="A65" s="2" t="s">
        <v>117</v>
      </c>
      <c r="B65" s="29" t="s">
        <v>118</v>
      </c>
      <c r="C65" s="14">
        <v>0</v>
      </c>
      <c r="D65" s="14">
        <v>0</v>
      </c>
      <c r="E65" s="14">
        <v>0</v>
      </c>
      <c r="F65" s="14">
        <v>0</v>
      </c>
      <c r="G65" s="26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3">
        <v>0</v>
      </c>
      <c r="Z65" s="3"/>
      <c r="AA65" s="30"/>
      <c r="AB65" s="30"/>
      <c r="AC65" s="30"/>
      <c r="AD65" s="30">
        <v>0</v>
      </c>
      <c r="AE65" s="31">
        <v>0</v>
      </c>
      <c r="AF65" s="30"/>
    </row>
    <row r="66" spans="1:32" ht="15.5" hidden="1" x14ac:dyDescent="0.35">
      <c r="A66" s="2" t="s">
        <v>119</v>
      </c>
      <c r="B66" s="29" t="s">
        <v>120</v>
      </c>
      <c r="C66" s="14">
        <v>0</v>
      </c>
      <c r="D66" s="14">
        <v>0</v>
      </c>
      <c r="E66" s="14">
        <v>0</v>
      </c>
      <c r="F66" s="14">
        <v>0</v>
      </c>
      <c r="G66" s="26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3">
        <v>0</v>
      </c>
      <c r="Z66" s="3"/>
      <c r="AA66" s="30"/>
      <c r="AB66" s="30"/>
      <c r="AC66" s="30"/>
      <c r="AD66" s="30">
        <v>0</v>
      </c>
      <c r="AE66" s="31">
        <v>0</v>
      </c>
      <c r="AF66" s="30"/>
    </row>
    <row r="67" spans="1:32" ht="15.5" hidden="1" x14ac:dyDescent="0.35">
      <c r="A67" s="2" t="s">
        <v>208</v>
      </c>
      <c r="B67" s="29" t="s">
        <v>209</v>
      </c>
      <c r="C67" s="14">
        <v>0</v>
      </c>
      <c r="D67" s="14">
        <v>0</v>
      </c>
      <c r="E67" s="14">
        <v>0</v>
      </c>
      <c r="F67" s="14">
        <v>0</v>
      </c>
      <c r="G67" s="26">
        <v>0</v>
      </c>
      <c r="H67" s="14">
        <v>0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3">
        <v>0</v>
      </c>
      <c r="Z67" s="3"/>
      <c r="AA67" s="30"/>
      <c r="AB67" s="30"/>
      <c r="AC67" s="30"/>
      <c r="AD67" s="30">
        <v>0</v>
      </c>
      <c r="AE67" s="31">
        <v>1</v>
      </c>
      <c r="AF67" s="30"/>
    </row>
    <row r="68" spans="1:32" ht="15.5" hidden="1" x14ac:dyDescent="0.35">
      <c r="A68" s="2" t="s">
        <v>121</v>
      </c>
      <c r="B68" s="29" t="s">
        <v>122</v>
      </c>
      <c r="C68" s="14">
        <v>0</v>
      </c>
      <c r="D68" s="14">
        <v>0</v>
      </c>
      <c r="E68" s="14">
        <v>0</v>
      </c>
      <c r="F68" s="14">
        <v>0</v>
      </c>
      <c r="G68" s="26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3">
        <v>0</v>
      </c>
      <c r="Z68" s="3"/>
      <c r="AA68" s="30"/>
      <c r="AB68" s="30"/>
      <c r="AC68" s="30"/>
      <c r="AD68" s="30">
        <v>5</v>
      </c>
      <c r="AE68" s="31">
        <v>0</v>
      </c>
      <c r="AF68" s="30"/>
    </row>
    <row r="69" spans="1:32" ht="15.5" hidden="1" x14ac:dyDescent="0.35">
      <c r="A69" s="2" t="s">
        <v>123</v>
      </c>
      <c r="B69" s="29" t="s">
        <v>124</v>
      </c>
      <c r="C69" s="14">
        <v>0</v>
      </c>
      <c r="D69" s="14">
        <v>0</v>
      </c>
      <c r="E69" s="14">
        <v>0</v>
      </c>
      <c r="F69" s="14">
        <v>0</v>
      </c>
      <c r="G69" s="26">
        <v>0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0</v>
      </c>
      <c r="P69" s="14">
        <v>0</v>
      </c>
      <c r="Q69" s="14">
        <v>0</v>
      </c>
      <c r="R69" s="14">
        <v>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0</v>
      </c>
      <c r="Y69" s="3">
        <v>0</v>
      </c>
      <c r="Z69" s="3"/>
      <c r="AA69" s="30"/>
      <c r="AB69" s="30"/>
      <c r="AC69" s="30"/>
      <c r="AD69" s="30">
        <v>0</v>
      </c>
      <c r="AE69" s="31">
        <v>0</v>
      </c>
      <c r="AF69" s="30"/>
    </row>
    <row r="70" spans="1:32" ht="15.5" hidden="1" x14ac:dyDescent="0.35">
      <c r="A70" s="2" t="s">
        <v>125</v>
      </c>
      <c r="B70" s="29" t="s">
        <v>126</v>
      </c>
      <c r="C70" s="14">
        <v>0</v>
      </c>
      <c r="D70" s="14">
        <v>0</v>
      </c>
      <c r="E70" s="14">
        <v>0</v>
      </c>
      <c r="F70" s="14">
        <v>0</v>
      </c>
      <c r="G70" s="26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3">
        <v>0</v>
      </c>
      <c r="Z70" s="3"/>
      <c r="AA70" s="30"/>
      <c r="AB70" s="30"/>
      <c r="AC70" s="30"/>
      <c r="AD70" s="30">
        <v>2</v>
      </c>
      <c r="AE70" s="31">
        <v>0</v>
      </c>
      <c r="AF70" s="30"/>
    </row>
    <row r="71" spans="1:32" ht="15.5" hidden="1" x14ac:dyDescent="0.35">
      <c r="A71" s="2" t="s">
        <v>127</v>
      </c>
      <c r="B71" s="29" t="s">
        <v>128</v>
      </c>
      <c r="C71" s="14">
        <v>0</v>
      </c>
      <c r="D71" s="14">
        <v>0</v>
      </c>
      <c r="E71" s="14">
        <v>0</v>
      </c>
      <c r="F71" s="14">
        <v>0</v>
      </c>
      <c r="G71" s="26">
        <v>0</v>
      </c>
      <c r="H71" s="14">
        <v>0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3">
        <v>0</v>
      </c>
      <c r="Z71" s="3"/>
      <c r="AA71" s="30"/>
      <c r="AB71" s="30"/>
      <c r="AC71" s="30"/>
      <c r="AD71" s="30">
        <v>0</v>
      </c>
      <c r="AE71" s="31">
        <v>0</v>
      </c>
      <c r="AF71" s="30"/>
    </row>
    <row r="72" spans="1:32" ht="15.5" hidden="1" x14ac:dyDescent="0.35">
      <c r="A72" s="2" t="s">
        <v>129</v>
      </c>
      <c r="B72" s="29" t="s">
        <v>130</v>
      </c>
      <c r="C72" s="14">
        <v>0</v>
      </c>
      <c r="D72" s="14">
        <v>0</v>
      </c>
      <c r="E72" s="14">
        <v>0</v>
      </c>
      <c r="F72" s="14">
        <v>0</v>
      </c>
      <c r="G72" s="26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3">
        <v>0</v>
      </c>
      <c r="Z72" s="3"/>
      <c r="AA72" s="30"/>
      <c r="AB72" s="30"/>
      <c r="AC72" s="30"/>
      <c r="AD72" s="30">
        <v>0</v>
      </c>
      <c r="AE72" s="31">
        <v>0</v>
      </c>
      <c r="AF72" s="30"/>
    </row>
    <row r="73" spans="1:32" ht="15.5" x14ac:dyDescent="0.35">
      <c r="A73" s="2" t="s">
        <v>131</v>
      </c>
      <c r="B73" s="29" t="s">
        <v>132</v>
      </c>
      <c r="C73" s="14">
        <v>3</v>
      </c>
      <c r="D73" s="14">
        <v>3</v>
      </c>
      <c r="E73" s="14">
        <v>3</v>
      </c>
      <c r="F73" s="14">
        <v>2</v>
      </c>
      <c r="G73" s="26">
        <v>3</v>
      </c>
      <c r="H73" s="14">
        <v>3</v>
      </c>
      <c r="I73" s="14">
        <v>3</v>
      </c>
      <c r="J73" s="14">
        <v>2</v>
      </c>
      <c r="K73" s="14">
        <v>3</v>
      </c>
      <c r="L73" s="14">
        <v>3</v>
      </c>
      <c r="M73" s="14">
        <v>3</v>
      </c>
      <c r="N73" s="14">
        <v>3</v>
      </c>
      <c r="O73" s="14">
        <v>3</v>
      </c>
      <c r="P73" s="14">
        <v>11</v>
      </c>
      <c r="Q73" s="14">
        <v>12</v>
      </c>
      <c r="R73" s="14">
        <v>12</v>
      </c>
      <c r="S73" s="14">
        <v>13</v>
      </c>
      <c r="T73" s="14">
        <v>10</v>
      </c>
      <c r="U73" s="14">
        <v>0</v>
      </c>
      <c r="V73" s="14">
        <v>0</v>
      </c>
      <c r="W73" s="14">
        <v>0</v>
      </c>
      <c r="X73" s="14">
        <v>0</v>
      </c>
      <c r="Y73" s="3">
        <v>1</v>
      </c>
      <c r="Z73" s="3"/>
      <c r="AA73" s="31"/>
      <c r="AB73" s="31"/>
      <c r="AC73" s="31"/>
      <c r="AD73" s="30">
        <v>4</v>
      </c>
      <c r="AE73" s="31">
        <v>0</v>
      </c>
      <c r="AF73" s="31"/>
    </row>
    <row r="74" spans="1:32" ht="15.5" hidden="1" x14ac:dyDescent="0.35">
      <c r="A74" s="2" t="s">
        <v>133</v>
      </c>
      <c r="B74" s="29" t="s">
        <v>134</v>
      </c>
      <c r="C74" s="14">
        <v>0</v>
      </c>
      <c r="D74" s="14">
        <v>0</v>
      </c>
      <c r="E74" s="14">
        <v>0</v>
      </c>
      <c r="F74" s="14">
        <v>0</v>
      </c>
      <c r="G74" s="26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3">
        <v>0</v>
      </c>
      <c r="Z74" s="3"/>
      <c r="AA74" s="30"/>
      <c r="AB74" s="30"/>
      <c r="AC74" s="30"/>
      <c r="AD74" s="30">
        <v>2</v>
      </c>
      <c r="AE74" s="31">
        <v>1</v>
      </c>
      <c r="AF74" s="30"/>
    </row>
    <row r="75" spans="1:32" ht="15.5" hidden="1" x14ac:dyDescent="0.35">
      <c r="A75" s="2" t="s">
        <v>135</v>
      </c>
      <c r="B75" s="29" t="s">
        <v>136</v>
      </c>
      <c r="C75" s="14">
        <v>0</v>
      </c>
      <c r="D75" s="14">
        <v>0</v>
      </c>
      <c r="E75" s="14">
        <v>0</v>
      </c>
      <c r="F75" s="14">
        <v>0</v>
      </c>
      <c r="G75" s="26">
        <v>0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3">
        <v>0</v>
      </c>
      <c r="Z75" s="3"/>
      <c r="AA75" s="31"/>
      <c r="AB75" s="31"/>
      <c r="AC75" s="31"/>
      <c r="AD75" s="30">
        <v>1</v>
      </c>
      <c r="AE75" s="31">
        <v>0</v>
      </c>
      <c r="AF75" s="31"/>
    </row>
    <row r="76" spans="1:32" ht="15.5" x14ac:dyDescent="0.35">
      <c r="A76" s="2" t="s">
        <v>137</v>
      </c>
      <c r="B76" s="29" t="s">
        <v>138</v>
      </c>
      <c r="C76" s="14">
        <v>2</v>
      </c>
      <c r="D76" s="14">
        <v>2</v>
      </c>
      <c r="E76" s="14">
        <v>2</v>
      </c>
      <c r="F76" s="14">
        <v>0</v>
      </c>
      <c r="G76" s="26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2</v>
      </c>
      <c r="N76" s="14">
        <v>2</v>
      </c>
      <c r="O76" s="14">
        <v>2</v>
      </c>
      <c r="P76" s="14">
        <v>5</v>
      </c>
      <c r="Q76" s="14">
        <v>5</v>
      </c>
      <c r="R76" s="14">
        <v>5</v>
      </c>
      <c r="S76" s="14">
        <v>5</v>
      </c>
      <c r="T76" s="14">
        <v>5</v>
      </c>
      <c r="U76" s="14">
        <v>0</v>
      </c>
      <c r="V76" s="14">
        <v>0</v>
      </c>
      <c r="W76" s="14">
        <v>0</v>
      </c>
      <c r="X76" s="14">
        <v>0</v>
      </c>
      <c r="Y76" s="3">
        <v>0</v>
      </c>
      <c r="Z76" s="3"/>
      <c r="AA76" s="30"/>
      <c r="AB76" s="30"/>
      <c r="AC76" s="30"/>
      <c r="AD76" s="30">
        <v>2</v>
      </c>
      <c r="AE76" s="31">
        <v>0</v>
      </c>
      <c r="AF76" s="30"/>
    </row>
    <row r="77" spans="1:32" ht="15.5" hidden="1" x14ac:dyDescent="0.35">
      <c r="A77" s="2" t="s">
        <v>139</v>
      </c>
      <c r="B77" s="29" t="s">
        <v>140</v>
      </c>
      <c r="C77" s="14">
        <v>0</v>
      </c>
      <c r="D77" s="14">
        <v>0</v>
      </c>
      <c r="E77" s="14">
        <v>0</v>
      </c>
      <c r="F77" s="14">
        <v>0</v>
      </c>
      <c r="G77" s="26">
        <v>0</v>
      </c>
      <c r="H77" s="14">
        <v>0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  <c r="N77" s="14">
        <v>0</v>
      </c>
      <c r="O77" s="14">
        <v>0</v>
      </c>
      <c r="P77" s="14">
        <v>0</v>
      </c>
      <c r="Q77" s="14">
        <v>0</v>
      </c>
      <c r="R77" s="14">
        <v>0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14">
        <v>0</v>
      </c>
      <c r="Y77" s="3">
        <v>0</v>
      </c>
      <c r="Z77" s="3"/>
      <c r="AA77" s="30"/>
      <c r="AB77" s="30"/>
      <c r="AC77" s="30"/>
      <c r="AD77" s="30">
        <v>0</v>
      </c>
      <c r="AE77" s="31">
        <v>0</v>
      </c>
      <c r="AF77" s="30"/>
    </row>
    <row r="78" spans="1:32" ht="15.5" hidden="1" x14ac:dyDescent="0.35">
      <c r="A78" s="2" t="s">
        <v>141</v>
      </c>
      <c r="B78" s="29" t="s">
        <v>142</v>
      </c>
      <c r="C78" s="14">
        <v>0</v>
      </c>
      <c r="D78" s="14">
        <v>0</v>
      </c>
      <c r="E78" s="14">
        <v>0</v>
      </c>
      <c r="F78" s="14">
        <v>0</v>
      </c>
      <c r="G78" s="26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  <c r="P78" s="14">
        <v>0</v>
      </c>
      <c r="Q78" s="14">
        <v>0</v>
      </c>
      <c r="R78" s="14">
        <v>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3">
        <v>0</v>
      </c>
      <c r="Z78" s="3"/>
      <c r="AA78" s="30"/>
      <c r="AB78" s="30"/>
      <c r="AC78" s="30"/>
      <c r="AD78" s="30">
        <v>0</v>
      </c>
      <c r="AE78" s="31">
        <v>0</v>
      </c>
      <c r="AF78" s="30"/>
    </row>
    <row r="79" spans="1:32" ht="15.5" x14ac:dyDescent="0.35">
      <c r="A79" s="2" t="s">
        <v>143</v>
      </c>
      <c r="B79" s="29" t="s">
        <v>144</v>
      </c>
      <c r="C79" s="14">
        <v>1</v>
      </c>
      <c r="D79" s="14">
        <v>1</v>
      </c>
      <c r="E79" s="14">
        <v>1</v>
      </c>
      <c r="F79" s="14">
        <v>1</v>
      </c>
      <c r="G79" s="26">
        <v>3</v>
      </c>
      <c r="H79" s="14">
        <v>3</v>
      </c>
      <c r="I79" s="14">
        <v>5</v>
      </c>
      <c r="J79" s="14">
        <v>4</v>
      </c>
      <c r="K79" s="14">
        <v>4</v>
      </c>
      <c r="L79" s="14">
        <v>4</v>
      </c>
      <c r="M79" s="14">
        <v>4</v>
      </c>
      <c r="N79" s="14">
        <v>4</v>
      </c>
      <c r="O79" s="14">
        <v>3</v>
      </c>
      <c r="P79" s="14">
        <v>3</v>
      </c>
      <c r="Q79" s="14">
        <v>3</v>
      </c>
      <c r="R79" s="14">
        <v>3</v>
      </c>
      <c r="S79" s="14">
        <v>2</v>
      </c>
      <c r="T79" s="14">
        <v>2</v>
      </c>
      <c r="U79" s="14">
        <v>0</v>
      </c>
      <c r="V79" s="14">
        <v>0</v>
      </c>
      <c r="W79" s="14">
        <v>0</v>
      </c>
      <c r="X79" s="14">
        <v>0</v>
      </c>
      <c r="Y79" s="3">
        <v>0</v>
      </c>
      <c r="Z79" s="3"/>
      <c r="AA79" s="31"/>
      <c r="AB79" s="31"/>
      <c r="AC79" s="31"/>
      <c r="AD79" s="30">
        <v>2</v>
      </c>
      <c r="AE79" s="31">
        <v>0</v>
      </c>
      <c r="AF79" s="31"/>
    </row>
    <row r="80" spans="1:32" ht="15.5" hidden="1" x14ac:dyDescent="0.35">
      <c r="A80" s="2" t="s">
        <v>145</v>
      </c>
      <c r="B80" s="29" t="s">
        <v>146</v>
      </c>
      <c r="C80" s="14">
        <v>0</v>
      </c>
      <c r="D80" s="14">
        <v>0</v>
      </c>
      <c r="E80" s="14">
        <v>0</v>
      </c>
      <c r="F80" s="14">
        <v>0</v>
      </c>
      <c r="G80" s="26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3">
        <v>0</v>
      </c>
      <c r="Z80" s="3"/>
      <c r="AA80" s="31"/>
      <c r="AB80" s="31"/>
      <c r="AC80" s="31"/>
      <c r="AD80" s="30">
        <v>0</v>
      </c>
      <c r="AE80" s="31">
        <v>0</v>
      </c>
      <c r="AF80" s="31"/>
    </row>
    <row r="81" spans="1:32" ht="15.5" hidden="1" x14ac:dyDescent="0.35">
      <c r="A81" s="2" t="s">
        <v>147</v>
      </c>
      <c r="B81" s="29" t="s">
        <v>148</v>
      </c>
      <c r="C81" s="14">
        <v>1</v>
      </c>
      <c r="D81" s="14">
        <v>1</v>
      </c>
      <c r="E81" s="14">
        <v>1</v>
      </c>
      <c r="F81" s="14">
        <v>1</v>
      </c>
      <c r="G81" s="26">
        <v>1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0</v>
      </c>
      <c r="Q81" s="14">
        <v>0</v>
      </c>
      <c r="R81" s="14">
        <v>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3">
        <v>0</v>
      </c>
      <c r="Z81" s="3"/>
      <c r="AA81" s="31"/>
      <c r="AB81" s="31"/>
      <c r="AC81" s="31"/>
      <c r="AD81" s="30">
        <v>0</v>
      </c>
      <c r="AE81" s="31">
        <v>0</v>
      </c>
      <c r="AF81" s="31"/>
    </row>
    <row r="82" spans="1:32" ht="15.5" x14ac:dyDescent="0.35">
      <c r="A82" s="2" t="s">
        <v>149</v>
      </c>
      <c r="B82" s="29" t="s">
        <v>150</v>
      </c>
      <c r="C82" s="14">
        <v>4</v>
      </c>
      <c r="D82" s="14">
        <v>2</v>
      </c>
      <c r="E82" s="14">
        <v>4</v>
      </c>
      <c r="F82" s="14">
        <v>4</v>
      </c>
      <c r="G82" s="26">
        <v>4</v>
      </c>
      <c r="H82" s="14">
        <v>4</v>
      </c>
      <c r="I82" s="14">
        <v>4</v>
      </c>
      <c r="J82" s="14">
        <v>3</v>
      </c>
      <c r="K82" s="14">
        <v>4</v>
      </c>
      <c r="L82" s="14">
        <v>4</v>
      </c>
      <c r="M82" s="14">
        <v>4</v>
      </c>
      <c r="N82" s="14">
        <v>4</v>
      </c>
      <c r="O82" s="14">
        <v>4</v>
      </c>
      <c r="P82" s="14">
        <v>4</v>
      </c>
      <c r="Q82" s="14">
        <v>4</v>
      </c>
      <c r="R82" s="14">
        <v>4</v>
      </c>
      <c r="S82" s="14">
        <v>2</v>
      </c>
      <c r="T82" s="14">
        <v>1</v>
      </c>
      <c r="U82" s="14">
        <v>0</v>
      </c>
      <c r="V82" s="14">
        <v>0</v>
      </c>
      <c r="W82" s="14">
        <v>0</v>
      </c>
      <c r="X82" s="14">
        <v>0</v>
      </c>
      <c r="Y82" s="3">
        <v>0</v>
      </c>
      <c r="Z82" s="3"/>
      <c r="AA82" s="31"/>
      <c r="AB82" s="31"/>
      <c r="AC82" s="31"/>
      <c r="AD82" s="30">
        <v>3</v>
      </c>
      <c r="AE82" s="31">
        <v>0</v>
      </c>
      <c r="AF82" s="31"/>
    </row>
    <row r="83" spans="1:32" ht="15.5" x14ac:dyDescent="0.35">
      <c r="A83" s="2" t="s">
        <v>151</v>
      </c>
      <c r="B83" s="29" t="s">
        <v>152</v>
      </c>
      <c r="C83" s="14">
        <v>3</v>
      </c>
      <c r="D83" s="14">
        <v>3</v>
      </c>
      <c r="E83" s="14">
        <v>3</v>
      </c>
      <c r="F83" s="14">
        <v>3</v>
      </c>
      <c r="G83" s="26">
        <v>3</v>
      </c>
      <c r="H83" s="14">
        <v>3</v>
      </c>
      <c r="I83" s="14">
        <v>3</v>
      </c>
      <c r="J83" s="14">
        <v>2</v>
      </c>
      <c r="K83" s="14">
        <v>2</v>
      </c>
      <c r="L83" s="14">
        <v>2</v>
      </c>
      <c r="M83" s="14">
        <v>2</v>
      </c>
      <c r="N83" s="14">
        <v>2</v>
      </c>
      <c r="O83" s="14">
        <v>2</v>
      </c>
      <c r="P83" s="14">
        <v>9</v>
      </c>
      <c r="Q83" s="14">
        <v>9</v>
      </c>
      <c r="R83" s="14">
        <v>9</v>
      </c>
      <c r="S83" s="14">
        <v>9</v>
      </c>
      <c r="T83" s="14">
        <v>9</v>
      </c>
      <c r="U83" s="14">
        <v>0</v>
      </c>
      <c r="V83" s="14">
        <v>0</v>
      </c>
      <c r="W83" s="14">
        <v>0</v>
      </c>
      <c r="X83" s="14">
        <v>0</v>
      </c>
      <c r="Y83" s="3">
        <v>0</v>
      </c>
      <c r="Z83" s="3"/>
      <c r="AA83" s="30"/>
      <c r="AB83" s="30"/>
      <c r="AC83" s="30"/>
      <c r="AD83" s="30">
        <v>3</v>
      </c>
      <c r="AE83" s="31">
        <v>1</v>
      </c>
      <c r="AF83" s="30"/>
    </row>
    <row r="84" spans="1:32" ht="15.5" hidden="1" x14ac:dyDescent="0.35">
      <c r="A84" s="2" t="s">
        <v>153</v>
      </c>
      <c r="B84" s="29" t="s">
        <v>154</v>
      </c>
      <c r="C84" s="14">
        <v>0</v>
      </c>
      <c r="D84" s="14">
        <v>0</v>
      </c>
      <c r="E84" s="14">
        <v>0</v>
      </c>
      <c r="F84" s="14">
        <v>0</v>
      </c>
      <c r="G84" s="26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  <c r="X84" s="14">
        <v>0</v>
      </c>
      <c r="Y84" s="3">
        <v>0</v>
      </c>
      <c r="Z84" s="3"/>
      <c r="AA84" s="30"/>
      <c r="AB84" s="30"/>
      <c r="AC84" s="30"/>
      <c r="AD84" s="30">
        <v>0</v>
      </c>
      <c r="AE84" s="31">
        <v>0</v>
      </c>
      <c r="AF84" s="30"/>
    </row>
    <row r="85" spans="1:32" ht="15.5" hidden="1" x14ac:dyDescent="0.35">
      <c r="A85" s="2" t="s">
        <v>155</v>
      </c>
      <c r="B85" s="29" t="s">
        <v>156</v>
      </c>
      <c r="C85" s="14">
        <v>0</v>
      </c>
      <c r="D85" s="14">
        <v>0</v>
      </c>
      <c r="E85" s="14">
        <v>0</v>
      </c>
      <c r="F85" s="14">
        <v>0</v>
      </c>
      <c r="G85" s="26">
        <v>0</v>
      </c>
      <c r="H85" s="14">
        <v>0</v>
      </c>
      <c r="I85" s="14">
        <v>1</v>
      </c>
      <c r="J85" s="14">
        <v>1</v>
      </c>
      <c r="K85" s="14">
        <v>1</v>
      </c>
      <c r="L85" s="14">
        <v>1</v>
      </c>
      <c r="M85" s="14">
        <v>1</v>
      </c>
      <c r="N85" s="14">
        <v>1</v>
      </c>
      <c r="O85" s="14">
        <v>1</v>
      </c>
      <c r="P85" s="14">
        <v>1</v>
      </c>
      <c r="Q85" s="14">
        <v>1</v>
      </c>
      <c r="R85" s="14">
        <v>1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14">
        <v>0</v>
      </c>
      <c r="Y85" s="3">
        <v>0</v>
      </c>
      <c r="Z85" s="3"/>
      <c r="AA85" s="31"/>
      <c r="AB85" s="31"/>
      <c r="AC85" s="31"/>
      <c r="AD85" s="30">
        <v>0</v>
      </c>
      <c r="AE85" s="31">
        <v>0</v>
      </c>
      <c r="AF85" s="31"/>
    </row>
    <row r="86" spans="1:32" ht="15.5" hidden="1" x14ac:dyDescent="0.35">
      <c r="A86" s="2" t="s">
        <v>157</v>
      </c>
      <c r="B86" s="29" t="s">
        <v>158</v>
      </c>
      <c r="C86" s="14">
        <v>1</v>
      </c>
      <c r="D86" s="14">
        <v>1</v>
      </c>
      <c r="E86" s="14">
        <v>1</v>
      </c>
      <c r="F86" s="14">
        <v>1</v>
      </c>
      <c r="G86" s="26">
        <v>1</v>
      </c>
      <c r="H86" s="14">
        <v>1</v>
      </c>
      <c r="I86" s="14">
        <v>1</v>
      </c>
      <c r="J86" s="14">
        <v>1</v>
      </c>
      <c r="K86" s="14">
        <v>1</v>
      </c>
      <c r="L86" s="14">
        <v>1</v>
      </c>
      <c r="M86" s="14">
        <v>1</v>
      </c>
      <c r="N86" s="14">
        <v>1</v>
      </c>
      <c r="O86" s="14">
        <v>0</v>
      </c>
      <c r="P86" s="14">
        <v>0</v>
      </c>
      <c r="Q86" s="14">
        <v>0</v>
      </c>
      <c r="R86" s="14">
        <v>0</v>
      </c>
      <c r="S86" s="14">
        <v>0</v>
      </c>
      <c r="T86" s="14">
        <v>0</v>
      </c>
      <c r="U86" s="14">
        <v>0</v>
      </c>
      <c r="V86" s="14">
        <v>0</v>
      </c>
      <c r="W86" s="14">
        <v>0</v>
      </c>
      <c r="X86" s="14">
        <v>0</v>
      </c>
      <c r="Y86" s="3">
        <v>0</v>
      </c>
      <c r="Z86" s="3"/>
      <c r="AA86" s="31"/>
      <c r="AB86" s="31"/>
      <c r="AC86" s="31"/>
      <c r="AD86" s="30">
        <v>1</v>
      </c>
      <c r="AE86" s="31">
        <v>0</v>
      </c>
      <c r="AF86" s="31"/>
    </row>
    <row r="87" spans="1:32" ht="15.5" hidden="1" x14ac:dyDescent="0.35">
      <c r="A87" s="2" t="s">
        <v>159</v>
      </c>
      <c r="B87" s="29" t="s">
        <v>160</v>
      </c>
      <c r="C87" s="14">
        <v>0</v>
      </c>
      <c r="D87" s="14">
        <v>0</v>
      </c>
      <c r="E87" s="14">
        <v>0</v>
      </c>
      <c r="F87" s="14">
        <v>0</v>
      </c>
      <c r="G87" s="26">
        <v>0</v>
      </c>
      <c r="H87" s="14">
        <v>0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0</v>
      </c>
      <c r="P87" s="14">
        <v>0</v>
      </c>
      <c r="Q87" s="14">
        <v>0</v>
      </c>
      <c r="R87" s="14">
        <v>0</v>
      </c>
      <c r="S87" s="14">
        <v>0</v>
      </c>
      <c r="T87" s="14">
        <v>0</v>
      </c>
      <c r="U87" s="14">
        <v>0</v>
      </c>
      <c r="V87" s="14">
        <v>0</v>
      </c>
      <c r="W87" s="14">
        <v>0</v>
      </c>
      <c r="X87" s="14">
        <v>0</v>
      </c>
      <c r="Y87" s="3">
        <v>0</v>
      </c>
      <c r="Z87" s="3"/>
      <c r="AA87" s="31"/>
      <c r="AB87" s="31"/>
      <c r="AC87" s="31"/>
      <c r="AD87" s="30">
        <v>0</v>
      </c>
      <c r="AE87" s="31">
        <v>0</v>
      </c>
      <c r="AF87" s="31"/>
    </row>
    <row r="88" spans="1:32" ht="15.5" x14ac:dyDescent="0.35">
      <c r="A88" s="2" t="s">
        <v>161</v>
      </c>
      <c r="B88" s="29" t="s">
        <v>162</v>
      </c>
      <c r="C88" s="14">
        <v>1</v>
      </c>
      <c r="D88" s="14">
        <v>1</v>
      </c>
      <c r="E88" s="14">
        <v>1</v>
      </c>
      <c r="F88" s="14">
        <v>0</v>
      </c>
      <c r="G88" s="26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2</v>
      </c>
      <c r="N88" s="14">
        <v>2</v>
      </c>
      <c r="O88" s="14">
        <v>2</v>
      </c>
      <c r="P88" s="14">
        <v>4</v>
      </c>
      <c r="Q88" s="14">
        <v>4</v>
      </c>
      <c r="R88" s="14">
        <v>4</v>
      </c>
      <c r="S88" s="14">
        <v>4</v>
      </c>
      <c r="T88" s="14">
        <v>4</v>
      </c>
      <c r="U88" s="14">
        <v>0</v>
      </c>
      <c r="V88" s="14">
        <v>0</v>
      </c>
      <c r="W88" s="14">
        <v>0</v>
      </c>
      <c r="X88" s="14">
        <v>0</v>
      </c>
      <c r="Y88" s="3">
        <v>0</v>
      </c>
      <c r="Z88" s="3"/>
      <c r="AA88" s="31"/>
      <c r="AB88" s="31"/>
      <c r="AC88" s="31"/>
      <c r="AD88" s="30">
        <v>2</v>
      </c>
      <c r="AE88" s="31">
        <v>2</v>
      </c>
      <c r="AF88" s="31"/>
    </row>
    <row r="89" spans="1:32" ht="15.5" hidden="1" x14ac:dyDescent="0.35">
      <c r="A89" s="2" t="s">
        <v>163</v>
      </c>
      <c r="B89" s="29" t="s">
        <v>164</v>
      </c>
      <c r="C89" s="14">
        <v>4</v>
      </c>
      <c r="D89" s="14">
        <v>3</v>
      </c>
      <c r="E89" s="14">
        <v>3</v>
      </c>
      <c r="F89" s="14">
        <v>3</v>
      </c>
      <c r="G89" s="26">
        <v>3</v>
      </c>
      <c r="H89" s="14">
        <v>3</v>
      </c>
      <c r="I89" s="14">
        <v>3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4">
        <v>0</v>
      </c>
      <c r="P89" s="14">
        <v>0</v>
      </c>
      <c r="Q89" s="14">
        <v>0</v>
      </c>
      <c r="R89" s="14">
        <v>0</v>
      </c>
      <c r="S89" s="14">
        <v>0</v>
      </c>
      <c r="T89" s="14">
        <v>0</v>
      </c>
      <c r="U89" s="14">
        <v>0</v>
      </c>
      <c r="V89" s="14">
        <v>0</v>
      </c>
      <c r="W89" s="14">
        <v>0</v>
      </c>
      <c r="X89" s="14">
        <v>0</v>
      </c>
      <c r="Y89" s="3">
        <v>0</v>
      </c>
      <c r="Z89" s="3"/>
      <c r="AA89" s="31"/>
      <c r="AB89" s="31"/>
      <c r="AC89" s="31"/>
      <c r="AD89" s="30">
        <v>1</v>
      </c>
      <c r="AE89" s="31">
        <v>0</v>
      </c>
      <c r="AF89" s="31"/>
    </row>
    <row r="90" spans="1:32" ht="15.5" hidden="1" x14ac:dyDescent="0.35">
      <c r="A90" s="2" t="s">
        <v>165</v>
      </c>
      <c r="B90" s="29" t="s">
        <v>166</v>
      </c>
      <c r="C90" s="14">
        <v>0</v>
      </c>
      <c r="D90" s="14">
        <v>0</v>
      </c>
      <c r="E90" s="14">
        <v>0</v>
      </c>
      <c r="F90" s="14">
        <v>0</v>
      </c>
      <c r="G90" s="26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  <c r="P90" s="14">
        <v>0</v>
      </c>
      <c r="Q90" s="14">
        <v>0</v>
      </c>
      <c r="R90" s="14">
        <v>0</v>
      </c>
      <c r="S90" s="14">
        <v>0</v>
      </c>
      <c r="T90" s="14">
        <v>0</v>
      </c>
      <c r="U90" s="14">
        <v>0</v>
      </c>
      <c r="V90" s="14">
        <v>0</v>
      </c>
      <c r="W90" s="14">
        <v>0</v>
      </c>
      <c r="X90" s="14">
        <v>0</v>
      </c>
      <c r="Y90" s="3">
        <v>0</v>
      </c>
      <c r="Z90" s="3"/>
      <c r="AA90" s="31"/>
      <c r="AB90" s="31"/>
      <c r="AC90" s="31"/>
      <c r="AD90" s="30">
        <v>0</v>
      </c>
      <c r="AE90" s="31">
        <v>1</v>
      </c>
      <c r="AF90" s="31"/>
    </row>
    <row r="91" spans="1:32" ht="15.5" hidden="1" x14ac:dyDescent="0.35">
      <c r="A91" s="2" t="s">
        <v>190</v>
      </c>
      <c r="B91" s="29" t="s">
        <v>191</v>
      </c>
      <c r="C91" s="14">
        <v>0</v>
      </c>
      <c r="D91" s="14">
        <v>0</v>
      </c>
      <c r="E91" s="14">
        <v>0</v>
      </c>
      <c r="F91" s="14">
        <v>0</v>
      </c>
      <c r="G91" s="26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3">
        <v>0</v>
      </c>
      <c r="Z91" s="3"/>
      <c r="AA91" s="31"/>
      <c r="AB91" s="31"/>
      <c r="AC91" s="31"/>
      <c r="AD91" s="30">
        <v>0</v>
      </c>
      <c r="AE91" s="31">
        <v>1</v>
      </c>
      <c r="AF91" s="31"/>
    </row>
    <row r="92" spans="1:32" ht="15.5" hidden="1" x14ac:dyDescent="0.35">
      <c r="A92" s="2" t="s">
        <v>167</v>
      </c>
      <c r="B92" s="29" t="s">
        <v>168</v>
      </c>
      <c r="C92" s="14">
        <v>1</v>
      </c>
      <c r="D92" s="14">
        <v>1</v>
      </c>
      <c r="E92" s="14">
        <v>1</v>
      </c>
      <c r="F92" s="14">
        <v>1</v>
      </c>
      <c r="G92" s="26">
        <v>1</v>
      </c>
      <c r="H92" s="14">
        <v>2</v>
      </c>
      <c r="I92" s="14">
        <v>2</v>
      </c>
      <c r="J92" s="14">
        <v>2</v>
      </c>
      <c r="K92" s="14">
        <v>2</v>
      </c>
      <c r="L92" s="14">
        <v>3</v>
      </c>
      <c r="M92" s="14">
        <v>3</v>
      </c>
      <c r="N92" s="14">
        <v>3</v>
      </c>
      <c r="O92" s="14">
        <v>1</v>
      </c>
      <c r="P92" s="14">
        <v>1</v>
      </c>
      <c r="Q92" s="14">
        <v>2</v>
      </c>
      <c r="R92" s="14">
        <v>2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3">
        <v>0</v>
      </c>
      <c r="Z92" s="3"/>
      <c r="AA92" s="30"/>
      <c r="AB92" s="30"/>
      <c r="AC92" s="30"/>
      <c r="AD92" s="30">
        <v>0</v>
      </c>
      <c r="AE92" s="31">
        <v>1</v>
      </c>
      <c r="AF92" s="30"/>
    </row>
    <row r="93" spans="1:32" ht="15.5" x14ac:dyDescent="0.35">
      <c r="A93" s="4"/>
      <c r="B93" s="4" t="s">
        <v>169</v>
      </c>
      <c r="C93" s="4">
        <f>SUM(C65:C92)</f>
        <v>21</v>
      </c>
      <c r="D93" s="4">
        <f>SUM(D65:D92)</f>
        <v>18</v>
      </c>
      <c r="E93" s="4">
        <f t="shared" ref="E93:F93" si="3">SUM(E65:E92)</f>
        <v>20</v>
      </c>
      <c r="F93" s="4">
        <f t="shared" si="3"/>
        <v>16</v>
      </c>
      <c r="G93" s="4">
        <f t="shared" ref="G93:Y93" si="4">SUM(G65:G92)</f>
        <v>19</v>
      </c>
      <c r="H93" s="4">
        <f t="shared" si="4"/>
        <v>19</v>
      </c>
      <c r="I93" s="4">
        <f t="shared" si="4"/>
        <v>22</v>
      </c>
      <c r="J93" s="4">
        <f t="shared" si="4"/>
        <v>15</v>
      </c>
      <c r="K93" s="4">
        <f t="shared" si="4"/>
        <v>17</v>
      </c>
      <c r="L93" s="4">
        <f t="shared" si="4"/>
        <v>18</v>
      </c>
      <c r="M93" s="4">
        <f t="shared" si="4"/>
        <v>22</v>
      </c>
      <c r="N93" s="4">
        <f t="shared" si="4"/>
        <v>22</v>
      </c>
      <c r="O93" s="4">
        <f t="shared" si="4"/>
        <v>18</v>
      </c>
      <c r="P93" s="4">
        <f t="shared" si="4"/>
        <v>38</v>
      </c>
      <c r="Q93" s="4">
        <f t="shared" si="4"/>
        <v>40</v>
      </c>
      <c r="R93" s="4">
        <f t="shared" si="4"/>
        <v>40</v>
      </c>
      <c r="S93" s="4">
        <f t="shared" si="4"/>
        <v>35</v>
      </c>
      <c r="T93" s="4">
        <f t="shared" si="4"/>
        <v>31</v>
      </c>
      <c r="U93" s="4">
        <f t="shared" si="4"/>
        <v>0</v>
      </c>
      <c r="V93" s="4">
        <f t="shared" si="4"/>
        <v>0</v>
      </c>
      <c r="W93" s="4">
        <f t="shared" si="4"/>
        <v>0</v>
      </c>
      <c r="X93" s="4">
        <f t="shared" si="4"/>
        <v>0</v>
      </c>
      <c r="Y93" s="4">
        <f t="shared" si="4"/>
        <v>1</v>
      </c>
      <c r="Z93" s="3"/>
      <c r="AA93" s="30"/>
      <c r="AB93" s="30"/>
      <c r="AC93" s="30"/>
      <c r="AD93" s="30"/>
      <c r="AE93" s="31"/>
      <c r="AF93" s="30"/>
    </row>
    <row r="94" spans="1:32" ht="15.5" x14ac:dyDescent="0.35">
      <c r="A94" s="2" t="s">
        <v>170</v>
      </c>
      <c r="B94" s="29" t="s">
        <v>171</v>
      </c>
      <c r="C94" s="14">
        <v>11</v>
      </c>
      <c r="D94" s="14">
        <v>13</v>
      </c>
      <c r="E94" s="14">
        <v>13</v>
      </c>
      <c r="F94" s="14">
        <v>13</v>
      </c>
      <c r="G94" s="26">
        <v>15</v>
      </c>
      <c r="H94" s="14">
        <v>17</v>
      </c>
      <c r="I94" s="14">
        <v>13</v>
      </c>
      <c r="J94" s="14">
        <v>19</v>
      </c>
      <c r="K94" s="14">
        <v>19</v>
      </c>
      <c r="L94" s="14">
        <v>14</v>
      </c>
      <c r="M94" s="14">
        <v>14</v>
      </c>
      <c r="N94" s="14">
        <v>14</v>
      </c>
      <c r="O94" s="14">
        <v>16</v>
      </c>
      <c r="P94" s="14">
        <v>11</v>
      </c>
      <c r="Q94" s="14">
        <v>11</v>
      </c>
      <c r="R94" s="14">
        <v>6</v>
      </c>
      <c r="S94" s="14">
        <v>3</v>
      </c>
      <c r="T94" s="14">
        <v>1</v>
      </c>
      <c r="U94" s="14">
        <v>0</v>
      </c>
      <c r="V94" s="14">
        <v>0</v>
      </c>
      <c r="W94" s="14">
        <v>0</v>
      </c>
      <c r="X94" s="14">
        <v>0</v>
      </c>
      <c r="Y94" s="3">
        <v>0</v>
      </c>
      <c r="Z94" s="3"/>
      <c r="AA94" s="31"/>
      <c r="AB94" s="31"/>
      <c r="AC94" s="31"/>
      <c r="AD94" s="30">
        <v>11</v>
      </c>
      <c r="AE94" s="31">
        <v>16</v>
      </c>
      <c r="AF94" s="31"/>
    </row>
    <row r="95" spans="1:32" ht="15.5" x14ac:dyDescent="0.35">
      <c r="A95" s="2" t="s">
        <v>172</v>
      </c>
      <c r="B95" s="29" t="s">
        <v>173</v>
      </c>
      <c r="C95" s="14">
        <v>61</v>
      </c>
      <c r="D95" s="14">
        <v>61</v>
      </c>
      <c r="E95" s="14">
        <v>57</v>
      </c>
      <c r="F95" s="14">
        <v>58</v>
      </c>
      <c r="G95" s="26">
        <v>60</v>
      </c>
      <c r="H95" s="14">
        <v>56</v>
      </c>
      <c r="I95" s="14">
        <v>53</v>
      </c>
      <c r="J95" s="14">
        <v>62</v>
      </c>
      <c r="K95" s="14">
        <v>63</v>
      </c>
      <c r="L95" s="14">
        <v>64</v>
      </c>
      <c r="M95" s="14">
        <v>60</v>
      </c>
      <c r="N95" s="14">
        <v>79</v>
      </c>
      <c r="O95" s="14">
        <v>80</v>
      </c>
      <c r="P95" s="14">
        <v>77</v>
      </c>
      <c r="Q95" s="14">
        <v>72</v>
      </c>
      <c r="R95" s="14">
        <v>72</v>
      </c>
      <c r="S95" s="14">
        <v>70</v>
      </c>
      <c r="T95" s="14">
        <v>68</v>
      </c>
      <c r="U95" s="14">
        <v>0</v>
      </c>
      <c r="V95" s="14">
        <v>0</v>
      </c>
      <c r="W95" s="14">
        <v>0</v>
      </c>
      <c r="X95" s="14">
        <v>0</v>
      </c>
      <c r="Y95" s="3">
        <v>4</v>
      </c>
      <c r="Z95" s="3"/>
      <c r="AA95" s="30"/>
      <c r="AB95" s="30"/>
      <c r="AC95" s="30"/>
      <c r="AD95" s="30">
        <v>11</v>
      </c>
      <c r="AE95" s="31">
        <v>2</v>
      </c>
      <c r="AF95" s="30"/>
    </row>
    <row r="96" spans="1:32" ht="15.5" x14ac:dyDescent="0.35">
      <c r="A96" s="2" t="s">
        <v>174</v>
      </c>
      <c r="B96" s="29" t="s">
        <v>175</v>
      </c>
      <c r="C96" s="14">
        <v>68</v>
      </c>
      <c r="D96" s="14">
        <v>72</v>
      </c>
      <c r="E96" s="14">
        <v>68</v>
      </c>
      <c r="F96" s="14">
        <v>63</v>
      </c>
      <c r="G96" s="26">
        <v>67</v>
      </c>
      <c r="H96" s="14">
        <v>62</v>
      </c>
      <c r="I96" s="14">
        <v>58</v>
      </c>
      <c r="J96" s="14">
        <v>79</v>
      </c>
      <c r="K96" s="14">
        <v>79</v>
      </c>
      <c r="L96" s="14">
        <v>79</v>
      </c>
      <c r="M96" s="14">
        <v>79</v>
      </c>
      <c r="N96" s="14">
        <v>98</v>
      </c>
      <c r="O96" s="14">
        <v>102</v>
      </c>
      <c r="P96" s="14">
        <v>99</v>
      </c>
      <c r="Q96" s="14">
        <v>96</v>
      </c>
      <c r="R96" s="14">
        <v>93</v>
      </c>
      <c r="S96" s="14">
        <v>102</v>
      </c>
      <c r="T96" s="14">
        <v>96</v>
      </c>
      <c r="U96" s="14">
        <v>0</v>
      </c>
      <c r="V96" s="14">
        <v>0</v>
      </c>
      <c r="W96" s="14">
        <v>0</v>
      </c>
      <c r="X96" s="14">
        <v>0</v>
      </c>
      <c r="Y96" s="3">
        <v>5</v>
      </c>
      <c r="Z96" s="3"/>
      <c r="AA96" s="30"/>
      <c r="AB96" s="30"/>
      <c r="AC96" s="30"/>
      <c r="AD96" s="30">
        <v>15</v>
      </c>
      <c r="AE96" s="31">
        <v>17</v>
      </c>
      <c r="AF96" s="30"/>
    </row>
    <row r="97" spans="1:32" ht="15.5" hidden="1" x14ac:dyDescent="0.35">
      <c r="A97" s="2" t="s">
        <v>176</v>
      </c>
      <c r="B97" s="29" t="s">
        <v>177</v>
      </c>
      <c r="C97" s="14">
        <v>0</v>
      </c>
      <c r="D97" s="14">
        <v>0</v>
      </c>
      <c r="E97" s="14">
        <v>0</v>
      </c>
      <c r="F97" s="14">
        <v>0</v>
      </c>
      <c r="G97" s="26">
        <v>0</v>
      </c>
      <c r="H97" s="14">
        <v>0</v>
      </c>
      <c r="I97" s="14">
        <v>0</v>
      </c>
      <c r="J97" s="14">
        <v>0</v>
      </c>
      <c r="K97" s="14">
        <v>0</v>
      </c>
      <c r="L97" s="14">
        <v>0</v>
      </c>
      <c r="M97" s="14">
        <v>0</v>
      </c>
      <c r="N97" s="14">
        <v>0</v>
      </c>
      <c r="O97" s="14">
        <v>0</v>
      </c>
      <c r="P97" s="14">
        <v>0</v>
      </c>
      <c r="Q97" s="14">
        <v>0</v>
      </c>
      <c r="R97" s="14">
        <v>0</v>
      </c>
      <c r="S97" s="14">
        <v>0</v>
      </c>
      <c r="T97" s="14">
        <v>0</v>
      </c>
      <c r="U97" s="14">
        <v>0</v>
      </c>
      <c r="V97" s="14">
        <v>0</v>
      </c>
      <c r="W97" s="14">
        <v>0</v>
      </c>
      <c r="X97" s="14">
        <v>0</v>
      </c>
      <c r="Y97" s="3">
        <v>0</v>
      </c>
      <c r="Z97" s="3"/>
      <c r="AA97" s="30"/>
      <c r="AB97" s="30"/>
      <c r="AC97" s="30"/>
      <c r="AD97" s="30">
        <v>0</v>
      </c>
      <c r="AE97" s="31">
        <v>0</v>
      </c>
      <c r="AF97" s="30"/>
    </row>
    <row r="98" spans="1:32" ht="15.5" hidden="1" x14ac:dyDescent="0.35">
      <c r="A98" s="2" t="s">
        <v>178</v>
      </c>
      <c r="B98" s="29" t="s">
        <v>179</v>
      </c>
      <c r="C98" s="14">
        <v>0</v>
      </c>
      <c r="D98" s="14">
        <v>0</v>
      </c>
      <c r="E98" s="14">
        <v>0</v>
      </c>
      <c r="F98" s="14">
        <v>0</v>
      </c>
      <c r="G98" s="26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  <c r="O98" s="14">
        <v>0</v>
      </c>
      <c r="P98" s="14">
        <v>0</v>
      </c>
      <c r="Q98" s="14">
        <v>0</v>
      </c>
      <c r="R98" s="14">
        <v>0</v>
      </c>
      <c r="S98" s="14">
        <v>0</v>
      </c>
      <c r="T98" s="14">
        <v>0</v>
      </c>
      <c r="U98" s="14">
        <v>0</v>
      </c>
      <c r="V98" s="14">
        <v>0</v>
      </c>
      <c r="W98" s="14">
        <v>0</v>
      </c>
      <c r="X98" s="14">
        <v>0</v>
      </c>
      <c r="Y98" s="3">
        <v>0</v>
      </c>
      <c r="Z98" s="3"/>
      <c r="AA98" s="30"/>
      <c r="AB98" s="30"/>
      <c r="AC98" s="30"/>
      <c r="AD98" s="30">
        <v>0</v>
      </c>
      <c r="AE98" s="31">
        <v>0</v>
      </c>
      <c r="AF98" s="30"/>
    </row>
    <row r="99" spans="1:32" ht="15.5" hidden="1" x14ac:dyDescent="0.35">
      <c r="A99" s="2" t="s">
        <v>180</v>
      </c>
      <c r="B99" s="29" t="s">
        <v>181</v>
      </c>
      <c r="C99" s="14">
        <v>0</v>
      </c>
      <c r="D99" s="14">
        <v>0</v>
      </c>
      <c r="E99" s="14">
        <v>0</v>
      </c>
      <c r="F99" s="14">
        <v>0</v>
      </c>
      <c r="G99" s="26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  <c r="T99" s="14">
        <v>0</v>
      </c>
      <c r="U99" s="14">
        <v>0</v>
      </c>
      <c r="V99" s="14">
        <v>0</v>
      </c>
      <c r="W99" s="14">
        <v>0</v>
      </c>
      <c r="X99" s="14">
        <v>0</v>
      </c>
      <c r="Y99" s="3">
        <v>0</v>
      </c>
      <c r="Z99" s="3"/>
      <c r="AA99" s="30"/>
      <c r="AB99" s="30"/>
      <c r="AC99" s="30"/>
      <c r="AD99" s="30">
        <v>0</v>
      </c>
      <c r="AE99" s="31">
        <v>0</v>
      </c>
      <c r="AF99" s="30"/>
    </row>
    <row r="100" spans="1:32" ht="15.5" x14ac:dyDescent="0.35">
      <c r="A100" s="2" t="s">
        <v>197</v>
      </c>
      <c r="B100" s="29" t="s">
        <v>198</v>
      </c>
      <c r="C100" s="14">
        <v>14</v>
      </c>
      <c r="D100" s="14">
        <v>14</v>
      </c>
      <c r="E100" s="14">
        <v>14</v>
      </c>
      <c r="F100" s="14">
        <v>14</v>
      </c>
      <c r="G100" s="26">
        <v>14</v>
      </c>
      <c r="H100" s="14">
        <v>14</v>
      </c>
      <c r="I100" s="14">
        <v>14</v>
      </c>
      <c r="J100" s="14">
        <v>11</v>
      </c>
      <c r="K100" s="14">
        <v>11</v>
      </c>
      <c r="L100" s="14">
        <v>11</v>
      </c>
      <c r="M100" s="14">
        <v>10</v>
      </c>
      <c r="N100" s="14">
        <v>10</v>
      </c>
      <c r="O100" s="14">
        <v>9</v>
      </c>
      <c r="P100" s="14">
        <v>5</v>
      </c>
      <c r="Q100" s="14">
        <v>4</v>
      </c>
      <c r="R100" s="14">
        <v>3</v>
      </c>
      <c r="S100" s="14">
        <v>5</v>
      </c>
      <c r="T100" s="14">
        <v>5</v>
      </c>
      <c r="U100" s="14">
        <v>0</v>
      </c>
      <c r="V100" s="14">
        <v>0</v>
      </c>
      <c r="W100" s="14">
        <v>0</v>
      </c>
      <c r="X100" s="14">
        <v>0</v>
      </c>
      <c r="Y100" s="3">
        <v>0</v>
      </c>
      <c r="Z100" s="3"/>
      <c r="AA100" s="30"/>
      <c r="AB100" s="30"/>
      <c r="AC100" s="30"/>
      <c r="AD100" s="30">
        <v>1</v>
      </c>
      <c r="AE100" s="31">
        <v>0</v>
      </c>
      <c r="AF100" s="30"/>
    </row>
    <row r="101" spans="1:32" ht="15.5" x14ac:dyDescent="0.35">
      <c r="A101" s="2" t="s">
        <v>199</v>
      </c>
      <c r="B101" s="29" t="s">
        <v>200</v>
      </c>
      <c r="C101" s="14">
        <v>8</v>
      </c>
      <c r="D101" s="14">
        <v>8</v>
      </c>
      <c r="E101" s="14">
        <v>8</v>
      </c>
      <c r="F101" s="14">
        <v>8</v>
      </c>
      <c r="G101" s="26">
        <v>8</v>
      </c>
      <c r="H101" s="14">
        <v>8</v>
      </c>
      <c r="I101" s="14">
        <v>8</v>
      </c>
      <c r="J101" s="14">
        <v>6</v>
      </c>
      <c r="K101" s="14">
        <v>6</v>
      </c>
      <c r="L101" s="14">
        <v>6</v>
      </c>
      <c r="M101" s="14">
        <v>6</v>
      </c>
      <c r="N101" s="14">
        <v>6</v>
      </c>
      <c r="O101" s="14">
        <v>6</v>
      </c>
      <c r="P101" s="14">
        <v>5</v>
      </c>
      <c r="Q101" s="14">
        <v>5</v>
      </c>
      <c r="R101" s="14">
        <v>4</v>
      </c>
      <c r="S101" s="14">
        <v>6</v>
      </c>
      <c r="T101" s="14">
        <v>5</v>
      </c>
      <c r="U101" s="14">
        <v>0</v>
      </c>
      <c r="V101" s="14">
        <v>0</v>
      </c>
      <c r="W101" s="14">
        <v>0</v>
      </c>
      <c r="X101" s="14">
        <v>0</v>
      </c>
      <c r="Y101" s="3">
        <v>0</v>
      </c>
      <c r="Z101" s="3"/>
      <c r="AA101" s="30"/>
      <c r="AB101" s="30"/>
      <c r="AC101" s="30"/>
      <c r="AD101" s="30">
        <v>8</v>
      </c>
      <c r="AE101" s="31">
        <v>0</v>
      </c>
      <c r="AF101" s="30"/>
    </row>
    <row r="102" spans="1:32" ht="15.5" x14ac:dyDescent="0.35">
      <c r="A102" s="4"/>
      <c r="B102" s="4" t="s">
        <v>182</v>
      </c>
      <c r="C102" s="4">
        <f>SUM(C94:C101)</f>
        <v>162</v>
      </c>
      <c r="D102" s="4">
        <f>SUM(D94:D101)</f>
        <v>168</v>
      </c>
      <c r="E102" s="4">
        <f t="shared" ref="E102:F102" si="5">SUM(E94:E101)</f>
        <v>160</v>
      </c>
      <c r="F102" s="4">
        <f t="shared" si="5"/>
        <v>156</v>
      </c>
      <c r="G102" s="4">
        <f t="shared" ref="G102:Y102" si="6">SUM(G94:G101)</f>
        <v>164</v>
      </c>
      <c r="H102" s="4">
        <f t="shared" si="6"/>
        <v>157</v>
      </c>
      <c r="I102" s="4">
        <f t="shared" si="6"/>
        <v>146</v>
      </c>
      <c r="J102" s="4">
        <f t="shared" si="6"/>
        <v>177</v>
      </c>
      <c r="K102" s="4">
        <f t="shared" si="6"/>
        <v>178</v>
      </c>
      <c r="L102" s="4">
        <f t="shared" si="6"/>
        <v>174</v>
      </c>
      <c r="M102" s="4">
        <f t="shared" si="6"/>
        <v>169</v>
      </c>
      <c r="N102" s="4">
        <f t="shared" si="6"/>
        <v>207</v>
      </c>
      <c r="O102" s="4">
        <f t="shared" si="6"/>
        <v>213</v>
      </c>
      <c r="P102" s="4">
        <f t="shared" si="6"/>
        <v>197</v>
      </c>
      <c r="Q102" s="4">
        <f t="shared" si="6"/>
        <v>188</v>
      </c>
      <c r="R102" s="4">
        <f t="shared" si="6"/>
        <v>178</v>
      </c>
      <c r="S102" s="4">
        <f t="shared" si="6"/>
        <v>186</v>
      </c>
      <c r="T102" s="4">
        <f t="shared" si="6"/>
        <v>175</v>
      </c>
      <c r="U102" s="4">
        <f t="shared" si="6"/>
        <v>0</v>
      </c>
      <c r="V102" s="4">
        <f t="shared" si="6"/>
        <v>0</v>
      </c>
      <c r="W102" s="4">
        <f t="shared" si="6"/>
        <v>0</v>
      </c>
      <c r="X102" s="4">
        <f t="shared" si="6"/>
        <v>0</v>
      </c>
      <c r="Y102" s="4">
        <f t="shared" si="6"/>
        <v>9</v>
      </c>
      <c r="Z102" s="3"/>
      <c r="AA102" s="30"/>
      <c r="AB102" s="30"/>
      <c r="AC102" s="30"/>
      <c r="AD102" s="30"/>
      <c r="AE102" s="31"/>
      <c r="AF102" s="30"/>
    </row>
    <row r="103" spans="1:32" ht="15.5" x14ac:dyDescent="0.35">
      <c r="A103" s="2" t="s">
        <v>183</v>
      </c>
      <c r="B103" s="29" t="s">
        <v>184</v>
      </c>
      <c r="C103" s="14">
        <v>25</v>
      </c>
      <c r="D103" s="14">
        <v>18</v>
      </c>
      <c r="E103" s="14">
        <v>18</v>
      </c>
      <c r="F103" s="14">
        <v>18</v>
      </c>
      <c r="G103" s="26">
        <v>18</v>
      </c>
      <c r="H103" s="14">
        <v>18</v>
      </c>
      <c r="I103" s="14">
        <v>18</v>
      </c>
      <c r="J103" s="14">
        <v>15</v>
      </c>
      <c r="K103" s="14">
        <v>15</v>
      </c>
      <c r="L103" s="14">
        <v>14</v>
      </c>
      <c r="M103" s="14">
        <v>14</v>
      </c>
      <c r="N103" s="14">
        <v>14</v>
      </c>
      <c r="O103" s="14">
        <v>14</v>
      </c>
      <c r="P103" s="14">
        <v>14</v>
      </c>
      <c r="Q103" s="14">
        <v>14</v>
      </c>
      <c r="R103" s="14">
        <v>10</v>
      </c>
      <c r="S103" s="14">
        <v>10</v>
      </c>
      <c r="T103" s="14">
        <v>10</v>
      </c>
      <c r="U103" s="14">
        <v>0</v>
      </c>
      <c r="V103" s="14">
        <v>0</v>
      </c>
      <c r="W103" s="14">
        <v>0</v>
      </c>
      <c r="X103" s="14">
        <v>0</v>
      </c>
      <c r="Y103" s="3">
        <v>0</v>
      </c>
      <c r="Z103" s="3"/>
      <c r="AA103" s="30"/>
      <c r="AB103" s="30"/>
      <c r="AC103" s="30"/>
      <c r="AD103" s="30">
        <v>20</v>
      </c>
      <c r="AE103" s="31">
        <v>0</v>
      </c>
      <c r="AF103" s="30"/>
    </row>
    <row r="104" spans="1:32" ht="15.5" x14ac:dyDescent="0.35">
      <c r="A104" s="2" t="s">
        <v>185</v>
      </c>
      <c r="B104" s="29" t="s">
        <v>186</v>
      </c>
      <c r="C104" s="14">
        <v>33</v>
      </c>
      <c r="D104" s="14">
        <v>33</v>
      </c>
      <c r="E104" s="14">
        <v>33</v>
      </c>
      <c r="F104" s="14">
        <v>33</v>
      </c>
      <c r="G104" s="26">
        <v>33</v>
      </c>
      <c r="H104" s="14">
        <v>33</v>
      </c>
      <c r="I104" s="14">
        <v>33</v>
      </c>
      <c r="J104" s="14">
        <v>30</v>
      </c>
      <c r="K104" s="14">
        <v>30</v>
      </c>
      <c r="L104" s="14">
        <v>22</v>
      </c>
      <c r="M104" s="14">
        <v>22</v>
      </c>
      <c r="N104" s="14">
        <v>22</v>
      </c>
      <c r="O104" s="14">
        <v>22</v>
      </c>
      <c r="P104" s="14">
        <v>22</v>
      </c>
      <c r="Q104" s="14">
        <v>22</v>
      </c>
      <c r="R104" s="14">
        <v>22</v>
      </c>
      <c r="S104" s="14">
        <v>16</v>
      </c>
      <c r="T104" s="14">
        <v>16</v>
      </c>
      <c r="U104" s="14">
        <v>0</v>
      </c>
      <c r="V104" s="14">
        <v>0</v>
      </c>
      <c r="W104" s="14">
        <v>0</v>
      </c>
      <c r="X104" s="14">
        <v>0</v>
      </c>
      <c r="Y104" s="3">
        <v>0</v>
      </c>
      <c r="Z104" s="3"/>
      <c r="AA104" s="30"/>
      <c r="AB104" s="30"/>
      <c r="AC104" s="30"/>
      <c r="AD104" s="30">
        <v>18</v>
      </c>
      <c r="AE104" s="31">
        <v>5</v>
      </c>
      <c r="AF104" s="30"/>
    </row>
    <row r="105" spans="1:32" ht="15.5" x14ac:dyDescent="0.35">
      <c r="A105" s="6"/>
      <c r="B105" s="4" t="s">
        <v>187</v>
      </c>
      <c r="C105" s="19">
        <f>SUM(C103:C104)</f>
        <v>58</v>
      </c>
      <c r="D105" s="19">
        <f>SUM(D103:D104)</f>
        <v>51</v>
      </c>
      <c r="E105" s="19">
        <f t="shared" ref="E105:Y105" si="7">SUM(E103:E104)</f>
        <v>51</v>
      </c>
      <c r="F105" s="19">
        <f t="shared" si="7"/>
        <v>51</v>
      </c>
      <c r="G105" s="19">
        <f t="shared" si="7"/>
        <v>51</v>
      </c>
      <c r="H105" s="19">
        <f t="shared" si="7"/>
        <v>51</v>
      </c>
      <c r="I105" s="19">
        <f t="shared" si="7"/>
        <v>51</v>
      </c>
      <c r="J105" s="19">
        <f t="shared" si="7"/>
        <v>45</v>
      </c>
      <c r="K105" s="19">
        <f t="shared" si="7"/>
        <v>45</v>
      </c>
      <c r="L105" s="19">
        <f t="shared" si="7"/>
        <v>36</v>
      </c>
      <c r="M105" s="19">
        <f t="shared" si="7"/>
        <v>36</v>
      </c>
      <c r="N105" s="19">
        <f t="shared" si="7"/>
        <v>36</v>
      </c>
      <c r="O105" s="19">
        <f t="shared" si="7"/>
        <v>36</v>
      </c>
      <c r="P105" s="19">
        <f t="shared" si="7"/>
        <v>36</v>
      </c>
      <c r="Q105" s="19">
        <f t="shared" si="7"/>
        <v>36</v>
      </c>
      <c r="R105" s="19">
        <f t="shared" si="7"/>
        <v>32</v>
      </c>
      <c r="S105" s="19">
        <f t="shared" si="7"/>
        <v>26</v>
      </c>
      <c r="T105" s="19">
        <f t="shared" si="7"/>
        <v>26</v>
      </c>
      <c r="U105" s="19">
        <f t="shared" si="7"/>
        <v>0</v>
      </c>
      <c r="V105" s="19">
        <f t="shared" si="7"/>
        <v>0</v>
      </c>
      <c r="W105" s="19">
        <f t="shared" si="7"/>
        <v>0</v>
      </c>
      <c r="X105" s="19">
        <f t="shared" si="7"/>
        <v>0</v>
      </c>
      <c r="Y105" s="19">
        <f t="shared" si="7"/>
        <v>0</v>
      </c>
      <c r="Z105" s="3"/>
      <c r="AA105" s="30"/>
      <c r="AB105" s="30"/>
      <c r="AC105" s="30"/>
      <c r="AD105" s="30"/>
      <c r="AE105" s="31"/>
      <c r="AF105" s="30"/>
    </row>
    <row r="106" spans="1:32" ht="15.5" hidden="1" x14ac:dyDescent="0.35">
      <c r="A106" s="9"/>
      <c r="B106" s="32" t="s">
        <v>188</v>
      </c>
      <c r="C106" s="27"/>
      <c r="D106" s="27"/>
      <c r="E106" s="27"/>
      <c r="F106" s="27"/>
      <c r="G106" s="16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8"/>
      <c r="Z106" s="28"/>
      <c r="AA106" s="33"/>
      <c r="AB106" s="33"/>
      <c r="AC106" s="33"/>
      <c r="AD106" s="30"/>
      <c r="AE106" s="31"/>
      <c r="AF106" s="33"/>
    </row>
    <row r="107" spans="1:32" ht="15.5" x14ac:dyDescent="0.35">
      <c r="A107" s="9"/>
      <c r="B107" s="10" t="str">
        <f t="shared" ref="B107" si="8">B18</f>
        <v>SEPSAC</v>
      </c>
      <c r="C107" s="15">
        <f t="shared" ref="C107" si="9">C18</f>
        <v>41</v>
      </c>
      <c r="D107" s="15">
        <f t="shared" ref="D107:R107" si="10">D18</f>
        <v>44</v>
      </c>
      <c r="E107" s="15">
        <f t="shared" ref="E107:I107" si="11">E18</f>
        <v>34</v>
      </c>
      <c r="F107" s="15">
        <f t="shared" si="11"/>
        <v>39</v>
      </c>
      <c r="G107" s="15">
        <f t="shared" si="11"/>
        <v>33</v>
      </c>
      <c r="H107" s="15">
        <f t="shared" si="11"/>
        <v>34</v>
      </c>
      <c r="I107" s="15">
        <f t="shared" si="11"/>
        <v>27</v>
      </c>
      <c r="J107" s="15">
        <f t="shared" ref="J107" si="12">J18</f>
        <v>43</v>
      </c>
      <c r="K107" s="15">
        <f t="shared" si="10"/>
        <v>37</v>
      </c>
      <c r="L107" s="15">
        <f t="shared" si="10"/>
        <v>30</v>
      </c>
      <c r="M107" s="15">
        <f t="shared" si="10"/>
        <v>37</v>
      </c>
      <c r="N107" s="15">
        <f t="shared" si="10"/>
        <v>44</v>
      </c>
      <c r="O107" s="15">
        <f t="shared" si="10"/>
        <v>50</v>
      </c>
      <c r="P107" s="15">
        <f t="shared" si="10"/>
        <v>56</v>
      </c>
      <c r="Q107" s="15">
        <f t="shared" si="10"/>
        <v>56</v>
      </c>
      <c r="R107" s="15">
        <f t="shared" si="10"/>
        <v>49</v>
      </c>
      <c r="S107" s="15">
        <f t="shared" ref="S107:X107" si="13">S18</f>
        <v>53</v>
      </c>
      <c r="T107" s="15">
        <f t="shared" si="13"/>
        <v>58</v>
      </c>
      <c r="U107" s="15">
        <f t="shared" si="13"/>
        <v>0</v>
      </c>
      <c r="V107" s="15">
        <f t="shared" si="13"/>
        <v>0</v>
      </c>
      <c r="W107" s="15">
        <f t="shared" ref="W107" si="14">W18</f>
        <v>0</v>
      </c>
      <c r="X107" s="15">
        <f t="shared" si="13"/>
        <v>0</v>
      </c>
      <c r="Y107" s="7"/>
      <c r="Z107" s="7"/>
      <c r="AA107" s="30"/>
      <c r="AB107" s="30"/>
      <c r="AC107" s="30"/>
      <c r="AD107" s="30"/>
      <c r="AE107" s="31"/>
      <c r="AF107" s="30"/>
    </row>
    <row r="108" spans="1:32" ht="15.5" x14ac:dyDescent="0.35">
      <c r="A108" s="9"/>
      <c r="B108" s="10" t="str">
        <f t="shared" ref="B108" si="15">B35</f>
        <v>LEPSAC</v>
      </c>
      <c r="C108" s="15">
        <f t="shared" ref="C108" si="16">C35</f>
        <v>8</v>
      </c>
      <c r="D108" s="15">
        <f t="shared" ref="D108:R108" si="17">D35</f>
        <v>11</v>
      </c>
      <c r="E108" s="15">
        <f t="shared" ref="E108:I108" si="18">E35</f>
        <v>7</v>
      </c>
      <c r="F108" s="15">
        <f t="shared" si="18"/>
        <v>8</v>
      </c>
      <c r="G108" s="15">
        <f t="shared" si="18"/>
        <v>6</v>
      </c>
      <c r="H108" s="15">
        <f t="shared" si="18"/>
        <v>6</v>
      </c>
      <c r="I108" s="15">
        <f t="shared" si="18"/>
        <v>6</v>
      </c>
      <c r="J108" s="15">
        <f t="shared" ref="J108" si="19">J35</f>
        <v>5</v>
      </c>
      <c r="K108" s="15">
        <f t="shared" si="17"/>
        <v>3</v>
      </c>
      <c r="L108" s="15">
        <f t="shared" si="17"/>
        <v>5</v>
      </c>
      <c r="M108" s="15">
        <f t="shared" si="17"/>
        <v>8</v>
      </c>
      <c r="N108" s="15">
        <f t="shared" si="17"/>
        <v>7</v>
      </c>
      <c r="O108" s="15">
        <f t="shared" si="17"/>
        <v>7</v>
      </c>
      <c r="P108" s="15">
        <f t="shared" si="17"/>
        <v>7</v>
      </c>
      <c r="Q108" s="15">
        <f t="shared" si="17"/>
        <v>6</v>
      </c>
      <c r="R108" s="15">
        <f t="shared" si="17"/>
        <v>4</v>
      </c>
      <c r="S108" s="15">
        <f t="shared" ref="S108:X108" si="20">S35</f>
        <v>6</v>
      </c>
      <c r="T108" s="15">
        <f t="shared" si="20"/>
        <v>8</v>
      </c>
      <c r="U108" s="15">
        <f t="shared" si="20"/>
        <v>0</v>
      </c>
      <c r="V108" s="15">
        <f t="shared" si="20"/>
        <v>0</v>
      </c>
      <c r="W108" s="15">
        <f t="shared" ref="W108" si="21">W35</f>
        <v>0</v>
      </c>
      <c r="X108" s="15">
        <f t="shared" si="20"/>
        <v>0</v>
      </c>
      <c r="Y108" s="7"/>
      <c r="Z108" s="7"/>
      <c r="AA108" s="30"/>
      <c r="AB108" s="30"/>
      <c r="AC108" s="30"/>
      <c r="AD108" s="30"/>
      <c r="AE108" s="31"/>
      <c r="AF108" s="30"/>
    </row>
    <row r="109" spans="1:32" ht="15.5" x14ac:dyDescent="0.35">
      <c r="A109" s="9"/>
      <c r="B109" s="10" t="str">
        <f t="shared" ref="B109" si="22">B64</f>
        <v>DPSAC</v>
      </c>
      <c r="C109" s="15">
        <f t="shared" ref="C109" si="23">C64</f>
        <v>42</v>
      </c>
      <c r="D109" s="15">
        <f t="shared" ref="D109:R109" si="24">D64</f>
        <v>33</v>
      </c>
      <c r="E109" s="15">
        <f t="shared" ref="E109:I109" si="25">E64</f>
        <v>30</v>
      </c>
      <c r="F109" s="15">
        <f t="shared" si="25"/>
        <v>30</v>
      </c>
      <c r="G109" s="15">
        <f t="shared" si="25"/>
        <v>24</v>
      </c>
      <c r="H109" s="15">
        <f t="shared" si="25"/>
        <v>24</v>
      </c>
      <c r="I109" s="15">
        <f t="shared" si="25"/>
        <v>24</v>
      </c>
      <c r="J109" s="15">
        <f t="shared" ref="J109" si="26">J64</f>
        <v>20</v>
      </c>
      <c r="K109" s="15">
        <f t="shared" si="24"/>
        <v>19</v>
      </c>
      <c r="L109" s="15">
        <f t="shared" si="24"/>
        <v>21</v>
      </c>
      <c r="M109" s="15">
        <f t="shared" si="24"/>
        <v>20</v>
      </c>
      <c r="N109" s="15">
        <f t="shared" si="24"/>
        <v>17</v>
      </c>
      <c r="O109" s="15">
        <f t="shared" si="24"/>
        <v>18</v>
      </c>
      <c r="P109" s="15">
        <f t="shared" si="24"/>
        <v>14</v>
      </c>
      <c r="Q109" s="15">
        <f t="shared" si="24"/>
        <v>16</v>
      </c>
      <c r="R109" s="15">
        <f t="shared" si="24"/>
        <v>13</v>
      </c>
      <c r="S109" s="15">
        <f t="shared" ref="S109:X109" si="27">S64</f>
        <v>14</v>
      </c>
      <c r="T109" s="15">
        <f t="shared" si="27"/>
        <v>6</v>
      </c>
      <c r="U109" s="15">
        <f t="shared" si="27"/>
        <v>0</v>
      </c>
      <c r="V109" s="15">
        <f t="shared" si="27"/>
        <v>0</v>
      </c>
      <c r="W109" s="15">
        <f t="shared" ref="W109" si="28">W64</f>
        <v>0</v>
      </c>
      <c r="X109" s="15">
        <f t="shared" si="27"/>
        <v>0</v>
      </c>
      <c r="Y109" s="7"/>
      <c r="Z109" s="7"/>
      <c r="AA109" s="30"/>
      <c r="AB109" s="30"/>
      <c r="AC109" s="30"/>
      <c r="AD109" s="30"/>
      <c r="AE109" s="31"/>
      <c r="AF109" s="30"/>
    </row>
    <row r="110" spans="1:32" ht="15.5" x14ac:dyDescent="0.35">
      <c r="A110" s="9"/>
      <c r="B110" s="10" t="str">
        <f t="shared" ref="B110" si="29">B93</f>
        <v>RCD</v>
      </c>
      <c r="C110" s="15">
        <f t="shared" ref="C110" si="30">C93</f>
        <v>21</v>
      </c>
      <c r="D110" s="15">
        <f t="shared" ref="D110:R110" si="31">D93</f>
        <v>18</v>
      </c>
      <c r="E110" s="15">
        <f t="shared" ref="E110:I110" si="32">E93</f>
        <v>20</v>
      </c>
      <c r="F110" s="15">
        <f t="shared" si="32"/>
        <v>16</v>
      </c>
      <c r="G110" s="15">
        <f t="shared" si="32"/>
        <v>19</v>
      </c>
      <c r="H110" s="15">
        <f t="shared" si="32"/>
        <v>19</v>
      </c>
      <c r="I110" s="15">
        <f t="shared" si="32"/>
        <v>22</v>
      </c>
      <c r="J110" s="15">
        <f t="shared" ref="J110" si="33">J93</f>
        <v>15</v>
      </c>
      <c r="K110" s="15">
        <f t="shared" si="31"/>
        <v>17</v>
      </c>
      <c r="L110" s="15">
        <f t="shared" si="31"/>
        <v>18</v>
      </c>
      <c r="M110" s="15">
        <f t="shared" si="31"/>
        <v>22</v>
      </c>
      <c r="N110" s="15">
        <f t="shared" si="31"/>
        <v>22</v>
      </c>
      <c r="O110" s="15">
        <f t="shared" si="31"/>
        <v>18</v>
      </c>
      <c r="P110" s="15">
        <f t="shared" si="31"/>
        <v>38</v>
      </c>
      <c r="Q110" s="15">
        <f t="shared" si="31"/>
        <v>40</v>
      </c>
      <c r="R110" s="15">
        <f t="shared" si="31"/>
        <v>40</v>
      </c>
      <c r="S110" s="15">
        <f t="shared" ref="S110:X110" si="34">S93</f>
        <v>35</v>
      </c>
      <c r="T110" s="15">
        <f t="shared" si="34"/>
        <v>31</v>
      </c>
      <c r="U110" s="15">
        <f t="shared" si="34"/>
        <v>0</v>
      </c>
      <c r="V110" s="15">
        <f t="shared" si="34"/>
        <v>0</v>
      </c>
      <c r="W110" s="15">
        <f t="shared" ref="W110" si="35">W93</f>
        <v>0</v>
      </c>
      <c r="X110" s="15">
        <f t="shared" si="34"/>
        <v>0</v>
      </c>
      <c r="Y110" s="7"/>
      <c r="Z110" s="7"/>
      <c r="AA110" s="30"/>
      <c r="AB110" s="30"/>
      <c r="AC110" s="30"/>
      <c r="AD110" s="30"/>
      <c r="AE110" s="31"/>
      <c r="AF110" s="30"/>
    </row>
    <row r="111" spans="1:32" ht="15.5" x14ac:dyDescent="0.35">
      <c r="A111" s="9"/>
      <c r="B111" s="10" t="str">
        <f t="shared" ref="B111" si="36">B102</f>
        <v>ENCAP</v>
      </c>
      <c r="C111" s="15">
        <f t="shared" ref="C111" si="37">C102</f>
        <v>162</v>
      </c>
      <c r="D111" s="15">
        <f t="shared" ref="D111:R111" si="38">D102</f>
        <v>168</v>
      </c>
      <c r="E111" s="15">
        <f t="shared" ref="E111:I111" si="39">E102</f>
        <v>160</v>
      </c>
      <c r="F111" s="15">
        <f t="shared" si="39"/>
        <v>156</v>
      </c>
      <c r="G111" s="15">
        <f t="shared" si="39"/>
        <v>164</v>
      </c>
      <c r="H111" s="15">
        <f t="shared" si="39"/>
        <v>157</v>
      </c>
      <c r="I111" s="15">
        <f t="shared" si="39"/>
        <v>146</v>
      </c>
      <c r="J111" s="15">
        <f t="shared" ref="J111" si="40">J102</f>
        <v>177</v>
      </c>
      <c r="K111" s="15">
        <f t="shared" si="38"/>
        <v>178</v>
      </c>
      <c r="L111" s="15">
        <f t="shared" si="38"/>
        <v>174</v>
      </c>
      <c r="M111" s="15">
        <f t="shared" si="38"/>
        <v>169</v>
      </c>
      <c r="N111" s="15">
        <f t="shared" si="38"/>
        <v>207</v>
      </c>
      <c r="O111" s="15">
        <f t="shared" si="38"/>
        <v>213</v>
      </c>
      <c r="P111" s="15">
        <f t="shared" si="38"/>
        <v>197</v>
      </c>
      <c r="Q111" s="15">
        <f t="shared" si="38"/>
        <v>188</v>
      </c>
      <c r="R111" s="15">
        <f t="shared" si="38"/>
        <v>178</v>
      </c>
      <c r="S111" s="15">
        <f t="shared" ref="S111:X111" si="41">S102</f>
        <v>186</v>
      </c>
      <c r="T111" s="15">
        <f t="shared" si="41"/>
        <v>175</v>
      </c>
      <c r="U111" s="15">
        <f t="shared" si="41"/>
        <v>0</v>
      </c>
      <c r="V111" s="15">
        <f t="shared" si="41"/>
        <v>0</v>
      </c>
      <c r="W111" s="15">
        <f t="shared" ref="W111" si="42">W102</f>
        <v>0</v>
      </c>
      <c r="X111" s="15">
        <f t="shared" si="41"/>
        <v>0</v>
      </c>
      <c r="Y111" s="7"/>
      <c r="Z111" s="7"/>
      <c r="AA111" s="30"/>
      <c r="AB111" s="30"/>
      <c r="AC111" s="30"/>
      <c r="AD111" s="30"/>
      <c r="AE111" s="31"/>
      <c r="AF111" s="30"/>
    </row>
    <row r="112" spans="1:32" ht="15.5" x14ac:dyDescent="0.35">
      <c r="A112" s="11"/>
      <c r="B112" s="10" t="str">
        <f t="shared" ref="B112" si="43">B105</f>
        <v>ROTAIR</v>
      </c>
      <c r="C112" s="15">
        <f t="shared" ref="C112" si="44">C105</f>
        <v>58</v>
      </c>
      <c r="D112" s="15">
        <f t="shared" ref="D112:R112" si="45">D105</f>
        <v>51</v>
      </c>
      <c r="E112" s="15">
        <f t="shared" ref="E112:I112" si="46">E105</f>
        <v>51</v>
      </c>
      <c r="F112" s="15">
        <f t="shared" si="46"/>
        <v>51</v>
      </c>
      <c r="G112" s="15">
        <f t="shared" si="46"/>
        <v>51</v>
      </c>
      <c r="H112" s="15">
        <f t="shared" si="46"/>
        <v>51</v>
      </c>
      <c r="I112" s="15">
        <f t="shared" si="46"/>
        <v>51</v>
      </c>
      <c r="J112" s="15">
        <f t="shared" ref="J112" si="47">J105</f>
        <v>45</v>
      </c>
      <c r="K112" s="15">
        <f t="shared" si="45"/>
        <v>45</v>
      </c>
      <c r="L112" s="15">
        <f t="shared" si="45"/>
        <v>36</v>
      </c>
      <c r="M112" s="15">
        <f t="shared" si="45"/>
        <v>36</v>
      </c>
      <c r="N112" s="15">
        <f t="shared" si="45"/>
        <v>36</v>
      </c>
      <c r="O112" s="15">
        <f t="shared" si="45"/>
        <v>36</v>
      </c>
      <c r="P112" s="15">
        <f t="shared" si="45"/>
        <v>36</v>
      </c>
      <c r="Q112" s="15">
        <f t="shared" si="45"/>
        <v>36</v>
      </c>
      <c r="R112" s="15">
        <f t="shared" si="45"/>
        <v>32</v>
      </c>
      <c r="S112" s="15">
        <f t="shared" ref="S112:X112" si="48">S105</f>
        <v>26</v>
      </c>
      <c r="T112" s="15">
        <f t="shared" si="48"/>
        <v>26</v>
      </c>
      <c r="U112" s="15">
        <f t="shared" si="48"/>
        <v>0</v>
      </c>
      <c r="V112" s="15">
        <f t="shared" si="48"/>
        <v>0</v>
      </c>
      <c r="W112" s="15">
        <f t="shared" ref="W112" si="49">W105</f>
        <v>0</v>
      </c>
      <c r="X112" s="15">
        <f t="shared" si="48"/>
        <v>0</v>
      </c>
      <c r="Y112" s="7"/>
      <c r="Z112" s="7"/>
      <c r="AA112" s="30"/>
      <c r="AB112" s="30"/>
      <c r="AC112" s="30"/>
      <c r="AD112" s="30"/>
      <c r="AE112" s="31"/>
      <c r="AF112" s="30"/>
    </row>
    <row r="113" spans="1:32" ht="15.5" x14ac:dyDescent="0.35">
      <c r="A113" s="9"/>
      <c r="B113" s="9"/>
      <c r="C113" s="9">
        <f t="shared" ref="C113" si="50">SUM(C107:C112)</f>
        <v>332</v>
      </c>
      <c r="D113" s="9">
        <f t="shared" ref="D113:R113" si="51">SUM(D107:D112)</f>
        <v>325</v>
      </c>
      <c r="E113" s="9">
        <f t="shared" ref="E113:I113" si="52">SUM(E107:E112)</f>
        <v>302</v>
      </c>
      <c r="F113" s="9">
        <f t="shared" si="52"/>
        <v>300</v>
      </c>
      <c r="G113" s="9">
        <f t="shared" si="52"/>
        <v>297</v>
      </c>
      <c r="H113" s="9">
        <f t="shared" si="52"/>
        <v>291</v>
      </c>
      <c r="I113" s="9">
        <f t="shared" si="52"/>
        <v>276</v>
      </c>
      <c r="J113" s="9">
        <f t="shared" ref="J113" si="53">SUM(J107:J112)</f>
        <v>305</v>
      </c>
      <c r="K113" s="9">
        <f t="shared" ref="K113:N113" si="54">SUM(K107:K112)</f>
        <v>299</v>
      </c>
      <c r="L113" s="9">
        <f t="shared" si="54"/>
        <v>284</v>
      </c>
      <c r="M113" s="9">
        <f t="shared" si="54"/>
        <v>292</v>
      </c>
      <c r="N113" s="9">
        <f t="shared" si="54"/>
        <v>333</v>
      </c>
      <c r="O113" s="9">
        <f t="shared" si="51"/>
        <v>342</v>
      </c>
      <c r="P113" s="9">
        <f t="shared" si="51"/>
        <v>348</v>
      </c>
      <c r="Q113" s="9">
        <f t="shared" si="51"/>
        <v>342</v>
      </c>
      <c r="R113" s="9">
        <f t="shared" si="51"/>
        <v>316</v>
      </c>
      <c r="S113" s="9">
        <f t="shared" ref="S113:X113" si="55">SUM(S107:S112)</f>
        <v>320</v>
      </c>
      <c r="T113" s="9">
        <f t="shared" si="55"/>
        <v>304</v>
      </c>
      <c r="U113" s="9">
        <f t="shared" si="55"/>
        <v>0</v>
      </c>
      <c r="V113" s="9">
        <f t="shared" si="55"/>
        <v>0</v>
      </c>
      <c r="W113" s="9">
        <f t="shared" ref="W113" si="56">SUM(W107:W112)</f>
        <v>0</v>
      </c>
      <c r="X113" s="9">
        <f t="shared" si="55"/>
        <v>0</v>
      </c>
      <c r="Y113" s="9"/>
      <c r="Z113" s="9"/>
      <c r="AA113" s="20"/>
      <c r="AB113" s="20"/>
      <c r="AC113" s="20"/>
      <c r="AD113" s="20"/>
      <c r="AF113" s="20"/>
    </row>
  </sheetData>
  <autoFilter ref="A1:AF113" xr:uid="{00000000-0001-0000-0100-000000000000}">
    <filterColumn colId="19">
      <filters>
        <filter val="1"/>
        <filter val="10"/>
        <filter val="15"/>
        <filter val="16"/>
        <filter val="175"/>
        <filter val="2"/>
        <filter val="26"/>
        <filter val="3"/>
        <filter val="304"/>
        <filter val="31"/>
        <filter val="4"/>
        <filter val="5"/>
        <filter val="58"/>
        <filter val="6"/>
        <filter val="68"/>
        <filter val="8"/>
        <filter val="9"/>
        <filter val="96"/>
      </filters>
    </filterColumn>
  </autoFilter>
  <conditionalFormatting sqref="A1:B1">
    <cfRule type="duplicateValues" dxfId="5" priority="81" stopIfTrue="1"/>
  </conditionalFormatting>
  <conditionalFormatting sqref="C1:Z1">
    <cfRule type="duplicateValues" dxfId="4" priority="97" stopIfTrue="1"/>
  </conditionalFormatting>
  <conditionalFormatting sqref="AA1">
    <cfRule type="duplicateValues" dxfId="3" priority="14" stopIfTrue="1"/>
  </conditionalFormatting>
  <conditionalFormatting sqref="AB1">
    <cfRule type="duplicateValues" dxfId="2" priority="77" stopIfTrue="1"/>
  </conditionalFormatting>
  <conditionalFormatting sqref="AC1:AF1">
    <cfRule type="duplicateValues" dxfId="1" priority="98" stopIfTrue="1"/>
  </conditionalFormatting>
  <pageMargins left="0.70866141732283472" right="0.70866141732283472" top="0.74803149606299213" bottom="0.74803149606299213" header="0.31496062992125984" footer="0.31496062992125984"/>
  <pageSetup scale="8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Dec</vt:lpstr>
      <vt:lpstr>Trigger</vt:lpstr>
      <vt:lpstr>Dec!Print_Area</vt:lpstr>
      <vt:lpstr>Trigger!Print_Area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2025-12-23T06:17:50Z</dcterms:modified>
</cp:coreProperties>
</file>